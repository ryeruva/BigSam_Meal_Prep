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cking List" sheetId="2" state="visible" r:id="rId4"/>
    <sheet name="Meal Plan (Per Bear Can)" sheetId="3" state="visible" r:id="rId5"/>
    <sheet name="Shopping List" sheetId="4" state="visible" r:id="rId6"/>
    <sheet name="Nut Allergy — Scout Pa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<sst xmlns="http://schemas.openxmlformats.org/spreadsheetml/2006/main" count="880" uniqueCount="437">
  <si>
    <t xml:space="preserve">Ohlone Wilderness Trail — Crew Meal Plan  |  20 People  |  6 Bear Cans</t>
  </si>
  <si>
    <t xml:space="preserve">April 4–6, 2026  |  Fremont → Lake Del Valle  |  26.4 mi  |  12 Scouts · 8 Adults  |  4 Scout cans (3 people each) · 2 Adult cans (4 people each)</t>
  </si>
  <si>
    <t xml:space="preserve">BEAR CAN STRUCTURE</t>
  </si>
  <si>
    <t xml:space="preserve">Can 1</t>
  </si>
  <si>
    <t xml:space="preserve">Can 2</t>
  </si>
  <si>
    <t xml:space="preserve">Can 3</t>
  </si>
  <si>
    <t xml:space="preserve">Can 4</t>
  </si>
  <si>
    <t xml:space="preserve">Can 5</t>
  </si>
  <si>
    <t xml:space="preserve">Can 6</t>
  </si>
  <si>
    <t xml:space="preserve">Type</t>
  </si>
  <si>
    <t xml:space="preserve">People</t>
  </si>
  <si>
    <t xml:space="preserve">Notes</t>
  </si>
  <si>
    <t xml:space="preserve">Can assignment</t>
  </si>
  <si>
    <t xml:space="preserve">Scout A</t>
  </si>
  <si>
    <t xml:space="preserve">Scout B</t>
  </si>
  <si>
    <t xml:space="preserve">Scout C</t>
  </si>
  <si>
    <t xml:space="preserve">Scout D</t>
  </si>
  <si>
    <t xml:space="preserve">Adult A</t>
  </si>
  <si>
    <t xml:space="preserve">Adult B</t>
  </si>
  <si>
    <t xml:space="preserve">4 scout cans + 2 adult cans</t>
  </si>
  <si>
    <t xml:space="preserve">People per can</t>
  </si>
  <si>
    <t xml:space="preserve">3 scouts</t>
  </si>
  <si>
    <t xml:space="preserve">4 adults</t>
  </si>
  <si>
    <t xml:space="preserve">Hot drink</t>
  </si>
  <si>
    <t xml:space="preserve">Swiss Miss</t>
  </si>
  <si>
    <t xml:space="preserve">own coffee</t>
  </si>
  <si>
    <t xml:space="preserve">Scouts: Swiss Miss · Adults: own coffee/tea</t>
  </si>
  <si>
    <t xml:space="preserve">Cooks for</t>
  </si>
  <si>
    <t xml:space="preserve">Themselves</t>
  </si>
  <si>
    <t xml:space="preserve">Each bear can group cooks independently</t>
  </si>
  <si>
    <t xml:space="preserve">TRIP SCHEDULE</t>
  </si>
  <si>
    <t xml:space="preserve">Day</t>
  </si>
  <si>
    <t xml:space="preserve">Date</t>
  </si>
  <si>
    <t xml:space="preserve">Route</t>
  </si>
  <si>
    <t xml:space="preserve">Miles</t>
  </si>
  <si>
    <t xml:space="preserve">Gain</t>
  </si>
  <si>
    <t xml:space="preserve">Loss</t>
  </si>
  <si>
    <t xml:space="preserve">Camp</t>
  </si>
  <si>
    <t xml:space="preserve">Meals</t>
  </si>
  <si>
    <t xml:space="preserve">Water</t>
  </si>
  <si>
    <t xml:space="preserve">Day 1</t>
  </si>
  <si>
    <t xml:space="preserve">Sat Apr 4</t>
  </si>
  <si>
    <t xml:space="preserve">Trailhead → Star's Rest</t>
  </si>
  <si>
    <t xml:space="preserve">10.92 mi</t>
  </si>
  <si>
    <t xml:space="preserve">+3,474 ft</t>
  </si>
  <si>
    <t xml:space="preserve">−2,272 ft</t>
  </si>
  <si>
    <t xml:space="preserve">Star's Rest</t>
  </si>
  <si>
    <t xml:space="preserve">Snacks · Lunch · Dinner · Dessert</t>
  </si>
  <si>
    <t xml:space="preserve">Creek (filter)</t>
  </si>
  <si>
    <t xml:space="preserve">Eat breakfast before leaving car</t>
  </si>
  <si>
    <t xml:space="preserve">Day 2</t>
  </si>
  <si>
    <t xml:space="preserve">Sun Apr 5</t>
  </si>
  <si>
    <t xml:space="preserve">Star's Rest → Maggie's Half Acre</t>
  </si>
  <si>
    <t xml:space="preserve">5.82 mi</t>
  </si>
  <si>
    <t xml:space="preserve">+2,316 ft</t>
  </si>
  <si>
    <t xml:space="preserve">−410 ft</t>
  </si>
  <si>
    <t xml:space="preserve">Maggie's Half Acre</t>
  </si>
  <si>
    <t xml:space="preserve">Bkfst · Snacks · Lunch · Dinner · Dessert</t>
  </si>
  <si>
    <t xml:space="preserve">Dry ridge — fill at camp</t>
  </si>
  <si>
    <t xml:space="preserve">Hardest climb day; cattle on trail</t>
  </si>
  <si>
    <t xml:space="preserve">Day 3</t>
  </si>
  <si>
    <t xml:space="preserve">Mon Apr 6</t>
  </si>
  <si>
    <t xml:space="preserve">Maggie's Half Acre → Lake Del Valle</t>
  </si>
  <si>
    <t xml:space="preserve">9.69 mi</t>
  </si>
  <si>
    <t xml:space="preserve">+1,514 ft</t>
  </si>
  <si>
    <t xml:space="preserve">−4,249 ft</t>
  </si>
  <si>
    <t xml:space="preserve">Exit — Del Valle</t>
  </si>
  <si>
    <t xml:space="preserve">Bkfst · Snacks · Lunch</t>
  </si>
  <si>
    <t xml:space="preserve">Tap at park</t>
  </si>
  <si>
    <t xml:space="preserve">Mostly downhill; celebrate at Del Valle</t>
  </si>
  <si>
    <t xml:space="preserve">TOTALS</t>
  </si>
  <si>
    <t xml:space="preserve">26.43 mi</t>
  </si>
  <si>
    <t xml:space="preserve">+7,304 ft</t>
  </si>
  <si>
    <t xml:space="preserve">−6,931 ft</t>
  </si>
  <si>
    <t xml:space="preserve">CALORIE OVERVIEW (per person)</t>
  </si>
  <si>
    <t xml:space="preserve">Scouts</t>
  </si>
  <si>
    <t xml:space="preserve">Adults</t>
  </si>
  <si>
    <t xml:space="preserve">Target (full active day)</t>
  </si>
  <si>
    <t xml:space="preserve">~2,750 kcal</t>
  </si>
  <si>
    <t xml:space="preserve">~3,750 kcal</t>
  </si>
  <si>
    <t xml:space="preserve">Sunday is the only full active day</t>
  </si>
  <si>
    <t xml:space="preserve">Sat Apr 4 delivered</t>
  </si>
  <si>
    <t xml:space="preserve">~2,180 kcal</t>
  </si>
  <si>
    <t xml:space="preserve">Snacks + Lunch + Dinner + Dessert (no breakfast carried)</t>
  </si>
  <si>
    <t xml:space="preserve">Sun Apr 5 delivered</t>
  </si>
  <si>
    <t xml:space="preserve">~3,030 kcal</t>
  </si>
  <si>
    <t xml:space="preserve">~3,520 kcal ✅</t>
  </si>
  <si>
    <t xml:space="preserve">Bkfst + Snacks (incl. adult supplement) + Lunch + Dinner + Dessert</t>
  </si>
  <si>
    <t xml:space="preserve">Mon Apr 6 delivered</t>
  </si>
  <si>
    <t xml:space="preserve">~1,580 kcal</t>
  </si>
  <si>
    <t xml:space="preserve">Bkfst + Snacks + Lunch</t>
  </si>
  <si>
    <t xml:space="preserve">TRIP TOTAL</t>
  </si>
  <si>
    <t xml:space="preserve">~6,790 kcal</t>
  </si>
  <si>
    <t xml:space="preserve">~7,280 kcal ✅</t>
  </si>
  <si>
    <t xml:space="preserve">3 days combined</t>
  </si>
  <si>
    <t xml:space="preserve">BUDGET OVERVIEW</t>
  </si>
  <si>
    <t xml:space="preserve">Adult can (×2)</t>
  </si>
  <si>
    <t xml:space="preserve">Scout can (×4)</t>
  </si>
  <si>
    <t xml:space="preserve">Group total</t>
  </si>
  <si>
    <t xml:space="preserve">Estimated food cost</t>
  </si>
  <si>
    <t xml:space="preserve">~$129/can</t>
  </si>
  <si>
    <t xml:space="preserve">~$80/can</t>
  </si>
  <si>
    <t xml:space="preserve">~$1,135</t>
  </si>
  <si>
    <t xml:space="preserve">Bulk prices (Costco/Amazon)</t>
  </si>
  <si>
    <t xml:space="preserve">Per person</t>
  </si>
  <si>
    <t xml:space="preserve">~$64.50/adult</t>
  </si>
  <si>
    <t xml:space="preserve">~$26.50/scout</t>
  </si>
  <si>
    <t xml:space="preserve">~$56.75 avg</t>
  </si>
  <si>
    <t xml:space="preserve">Scouts carry less per can</t>
  </si>
  <si>
    <t xml:space="preserve">Food weight (dry)</t>
  </si>
  <si>
    <t xml:space="preserve">~11.5 lb/can</t>
  </si>
  <si>
    <t xml:space="preserve">~8.5 lb/can</t>
  </si>
  <si>
    <t xml:space="preserve">~57 lb total</t>
  </si>
  <si>
    <t xml:space="preserve">~2.9 lb/adult · ~2.2 lb/scout</t>
  </si>
  <si>
    <t xml:space="preserve">WATER PLANNING — ALL SOURCES REQUIRE FILTERING</t>
  </si>
  <si>
    <t xml:space="preserve">Location</t>
  </si>
  <si>
    <t xml:space="preserve">Source</t>
  </si>
  <si>
    <t xml:space="preserve">Reliability</t>
  </si>
  <si>
    <t xml:space="preserve">Required Action</t>
  </si>
  <si>
    <t xml:space="preserve">Trailhead (Fremont)</t>
  </si>
  <si>
    <t xml:space="preserve">Tap / car fill</t>
  </si>
  <si>
    <t xml:space="preserve">Reliable</t>
  </si>
  <si>
    <t xml:space="preserve">Fill ALL bottles. Carry 2–3 L per person — no water on Day 1 ridge.</t>
  </si>
  <si>
    <t xml:space="preserve">Star's Rest Camp</t>
  </si>
  <si>
    <t xml:space="preserve">Seasonal creek</t>
  </si>
  <si>
    <t xml:space="preserve">Usually present</t>
  </si>
  <si>
    <t xml:space="preserve">Filter before use. Fill completely before departing — dry ridge ahead.</t>
  </si>
  <si>
    <t xml:space="preserve">Day 2 Ridgeline</t>
  </si>
  <si>
    <t xml:space="preserve">None</t>
  </si>
  <si>
    <t xml:space="preserve">⚠ DRY</t>
  </si>
  <si>
    <t xml:space="preserve">No source. Must carry enough from Star's Rest.</t>
  </si>
  <si>
    <t xml:space="preserve">Filter before use. Fill bottles before bed.</t>
  </si>
  <si>
    <t xml:space="preserve">Lake Del Valle (exit)</t>
  </si>
  <si>
    <t xml:space="preserve">Park tap</t>
  </si>
  <si>
    <t xml:space="preserve">Refill before drive home.</t>
  </si>
  <si>
    <t xml:space="preserve">EMERGENCY CONTACTS &amp; SAFETY</t>
  </si>
  <si>
    <t xml:space="preserve">Contact / Hazard</t>
  </si>
  <si>
    <t xml:space="preserve">Detail</t>
  </si>
  <si>
    <t xml:space="preserve">East Bay Regional Parks (24/7)</t>
  </si>
  <si>
    <t xml:space="preserve">510-881-1121</t>
  </si>
  <si>
    <t xml:space="preserve">Primary for all incidents on Ohlone Trail</t>
  </si>
  <si>
    <t xml:space="preserve">Alameda County Sheriff SAR</t>
  </si>
  <si>
    <t xml:space="preserve">510-667-7721</t>
  </si>
  <si>
    <t xml:space="preserve">Search &amp; rescue coordination</t>
  </si>
  <si>
    <t xml:space="preserve">Poison oak</t>
  </si>
  <si>
    <t xml:space="preserve">All 3 days — trail edges</t>
  </si>
  <si>
    <t xml:space="preserve">'Leaves of three, let it be.' Wear long sleeves.</t>
  </si>
  <si>
    <t xml:space="preserve">Ticks</t>
  </si>
  <si>
    <t xml:space="preserve">Spring grass — common</t>
  </si>
  <si>
    <t xml:space="preserve">Full-body tick check every evening.</t>
  </si>
  <si>
    <t xml:space="preserve">Cattle</t>
  </si>
  <si>
    <t xml:space="preserve">Day 2 ranchland</t>
  </si>
  <si>
    <t xml:space="preserve">Stay calm, walk slowly, give wide berth.</t>
  </si>
  <si>
    <t xml:space="preserve">Sun</t>
  </si>
  <si>
    <t xml:space="preserve">Exposed ridges all 3 days</t>
  </si>
  <si>
    <t xml:space="preserve">Hats, sunscreen, sun shirts mandatory.</t>
  </si>
  <si>
    <t xml:space="preserve">Permits</t>
  </si>
  <si>
    <t xml:space="preserve">REQUIRED — all campsites</t>
  </si>
  <si>
    <t xml:space="preserve">Carry confirmation. Rangers check.</t>
  </si>
  <si>
    <t xml:space="preserve">Cell signal</t>
  </si>
  <si>
    <t xml:space="preserve">Intermittent</t>
  </si>
  <si>
    <t xml:space="preserve">Move to higher ground. Note GPS at each camp.</t>
  </si>
  <si>
    <t xml:space="preserve">Bear cans</t>
  </si>
  <si>
    <t xml:space="preserve">REQUIRED in Ohlone Wilderness</t>
  </si>
  <si>
    <t xml:space="preserve">All food must be stored in bear canisters overnight.</t>
  </si>
  <si>
    <t xml:space="preserve">OHLONE WILDERNESS TRAIL  ·  Bear Can Packing List  ·  April 4–6, 2026</t>
  </si>
  <si>
    <t xml:space="preserve">Check off each item as you pack.   ★ = adult cans only.   Qty = items per bear can  (adult can = 4 ppl  ·  scout can = 3 ppl)</t>
  </si>
  <si>
    <t xml:space="preserve">Meal</t>
  </si>
  <si>
    <t xml:space="preserve">Item</t>
  </si>
  <si>
    <t xml:space="preserve">Adult Can Qty</t>
  </si>
  <si>
    <t xml:space="preserve">Scout Can Qty</t>
  </si>
  <si>
    <t xml:space="preserve">Packed ✓</t>
  </si>
  <si>
    <t xml:space="preserve">  SATURDAY  APR 4</t>
  </si>
  <si>
    <t xml:space="preserve">SNACKS</t>
  </si>
  <si>
    <t xml:space="preserve">☐</t>
  </si>
  <si>
    <t xml:space="preserve">Kind PB Dark Choc Bar</t>
  </si>
  <si>
    <t xml:space="preserve">hip-belt pocket</t>
  </si>
  <si>
    <t xml:space="preserve">Krave Sea Salt Beef Jerky</t>
  </si>
  <si>
    <t xml:space="preserve">Gatorade Powder Pack</t>
  </si>
  <si>
    <t xml:space="preserve">Trader Joe's Dried Mango Slices (1 oz)</t>
  </si>
  <si>
    <t xml:space="preserve">LUNCH</t>
  </si>
  <si>
    <t xml:space="preserve">Columbus Hard Salami (packet)</t>
  </si>
  <si>
    <t xml:space="preserve">no cook</t>
  </si>
  <si>
    <t xml:space="preserve">Wasa Crispbread</t>
  </si>
  <si>
    <t xml:space="preserve">Tillamook Cheddar Cheese Packets</t>
  </si>
  <si>
    <t xml:space="preserve">DINNER</t>
  </si>
  <si>
    <t xml:space="preserve">Peak Refuel – Beef Pasta Marinara</t>
  </si>
  <si>
    <t xml:space="preserve">hot · 1.5 svgs/pouch</t>
  </si>
  <si>
    <t xml:space="preserve">Flour Tortillas</t>
  </si>
  <si>
    <t xml:space="preserve">dinner wraps + side</t>
  </si>
  <si>
    <t xml:space="preserve">dinner side</t>
  </si>
  <si>
    <t xml:space="preserve">DESSERT</t>
  </si>
  <si>
    <t xml:space="preserve">Backpacker's Pantry Crème Brûlée</t>
  </si>
  <si>
    <t xml:space="preserve">hot · buddy-pair shares 1</t>
  </si>
  <si>
    <t xml:space="preserve">  SUNDAY  APR 5</t>
  </si>
  <si>
    <t xml:space="preserve">BREAKFAST</t>
  </si>
  <si>
    <t xml:space="preserve">MET-Rx Big100 – Super Cookie Crunch</t>
  </si>
  <si>
    <t xml:space="preserve">grab &amp; go</t>
  </si>
  <si>
    <t xml:space="preserve">Swiss Miss Hot Chocolate</t>
  </si>
  <si>
    <t xml:space="preserve">—</t>
  </si>
  <si>
    <t xml:space="preserve">scouts only</t>
  </si>
  <si>
    <t xml:space="preserve">Adults: bring own coffee / tea</t>
  </si>
  <si>
    <t xml:space="preserve">adults only ★</t>
  </si>
  <si>
    <t xml:space="preserve">Kind Dark Choc Nuts &amp; Sea Salt Bar</t>
  </si>
  <si>
    <t xml:space="preserve">×2 packs · hardest climb day</t>
  </si>
  <si>
    <t xml:space="preserve">Banana Chips (1 oz)</t>
  </si>
  <si>
    <t xml:space="preserve">SNACKS ★</t>
  </si>
  <si>
    <t xml:space="preserve">Clif Builder's Bar</t>
  </si>
  <si>
    <t xml:space="preserve">Justin's PB Squeeze (adult supplement)</t>
  </si>
  <si>
    <t xml:space="preserve">Chicken of the Sea Shredded Chicken</t>
  </si>
  <si>
    <t xml:space="preserve">wraps</t>
  </si>
  <si>
    <t xml:space="preserve">Clif Bar – Crunchy PB</t>
  </si>
  <si>
    <t xml:space="preserve">Justin's Classic PB Squeeze Pack</t>
  </si>
  <si>
    <t xml:space="preserve">Peak Refuel – Beef Stroganoff</t>
  </si>
  <si>
    <t xml:space="preserve">Idahoan Mashed Potatoes</t>
  </si>
  <si>
    <t xml:space="preserve">hot · side dish</t>
  </si>
  <si>
    <t xml:space="preserve">Justin's Dark Choc PB Cups</t>
  </si>
  <si>
    <t xml:space="preserve">  MONDAY  APR 6</t>
  </si>
  <si>
    <t xml:space="preserve">ProBar Meal – Oatmeal Chocolate Chip</t>
  </si>
  <si>
    <t xml:space="preserve">Peak Refuel Fudge Brownie Bites</t>
  </si>
  <si>
    <t xml:space="preserve">pouches · no cook</t>
  </si>
  <si>
    <t xml:space="preserve">  TRIP TOTALS PER CAN (all 3 days combined)</t>
  </si>
  <si>
    <t xml:space="preserve">TOTAL</t>
  </si>
  <si>
    <t xml:space="preserve">Tillamook Cheddar Cheese Packs</t>
  </si>
  <si>
    <t xml:space="preserve">Justin's PB Squeeze (all uses)</t>
  </si>
  <si>
    <t xml:space="preserve">Gatorade Powder Packs</t>
  </si>
  <si>
    <t xml:space="preserve">Swiss Miss Hot Choc</t>
  </si>
  <si>
    <t xml:space="preserve">  Note: 1 scout has a nut allergy — see 'Nut Allergy — Scout Pack' tab for their personal swap bag checklist.</t>
  </si>
  <si>
    <t xml:space="preserve">Meal Plan — Quantities Per Bear Can  |  Adult Can = 4 people  |  Scout Can = 3 people</t>
  </si>
  <si>
    <t xml:space="preserve">Blue = editable inputs  |  ⚠ Highlighted = contains nuts (see allergy swap notes)  |  Adult supplement (orange) = adult cans only</t>
  </si>
  <si>
    <t xml:space="preserve">SAT APR 4 — BREAKFAST  ✗  NOT CARRIED — group eats before driving to trailhead</t>
  </si>
  <si>
    <t xml:space="preserve">Everyone eats at home before departing. No breakfast food in any bear can.</t>
  </si>
  <si>
    <t xml:space="preserve">SAT APR 4 — SNACKS  (distribute at trailhead)</t>
  </si>
  <si>
    <t xml:space="preserve">Hand out at the trailhead. No breakfast means snacks are the first fuel of the day.</t>
  </si>
  <si>
    <t xml:space="preserve">Food Item</t>
  </si>
  <si>
    <t xml:space="preserve">Qty (adult can)</t>
  </si>
  <si>
    <t xml:space="preserve">Qty (scout can)</t>
  </si>
  <si>
    <t xml:space="preserve">kcal/unit</t>
  </si>
  <si>
    <t xml:space="preserve">Adult can total kcal</t>
  </si>
  <si>
    <t xml:space="preserve">Scout can total kcal</t>
  </si>
  <si>
    <t xml:space="preserve">$/unit</t>
  </si>
  <si>
    <t xml:space="preserve">Adult can $</t>
  </si>
  <si>
    <t xml:space="preserve">Scout can $</t>
  </si>
  <si>
    <t xml:space="preserve">oz/unit</t>
  </si>
  <si>
    <t xml:space="preserve">Adult oz</t>
  </si>
  <si>
    <t xml:space="preserve">Kind – Peanut Butter Dark Chocolate Bar</t>
  </si>
  <si>
    <t xml:space="preserve">⚠ NUT: swap → 88 Acres Seed Bar for allergy scout</t>
  </si>
  <si>
    <t xml:space="preserve">Kind – Caramel Almond &amp; Peanut Bar</t>
  </si>
  <si>
    <t xml:space="preserve">⚠ NUT: swap → 88 Acres Cinnamon Maple for allergy scout</t>
  </si>
  <si>
    <t xml:space="preserve">Krave Sea Salt Original Beef Jerky</t>
  </si>
  <si>
    <t xml:space="preserve">Safe for nut allergy ✓</t>
  </si>
  <si>
    <t xml:space="preserve">×1/person; electrolytes on Day 1 climb</t>
  </si>
  <si>
    <t xml:space="preserve">Dried Mango Slices (1 oz/person) — nut-free ✓</t>
  </si>
  <si>
    <t xml:space="preserve">SECTION TOTAL</t>
  </si>
  <si>
    <t xml:space="preserve">SAT APR 4 — LUNCH  (NO COOK — trail charcuterie)</t>
  </si>
  <si>
    <t xml:space="preserve">Eat on the trail. Salami + crackers + cheese — completely different from Sun chicken wraps and Mon PB wraps.</t>
  </si>
  <si>
    <t xml:space="preserve">Columbus Hard Salami (sliced packet)</t>
  </si>
  <si>
    <t xml:space="preserve">1 packet/person; nut-free ✓</t>
  </si>
  <si>
    <t xml:space="preserve">Wasa Crisp'n Light Crackerbread</t>
  </si>
  <si>
    <t xml:space="preserve">1 pack/person; nut-free ✓</t>
  </si>
  <si>
    <t xml:space="preserve">1/person; nut-free ✓</t>
  </si>
  <si>
    <t xml:space="preserve">SAT APR 4 — DINNER  (hot, communal)</t>
  </si>
  <si>
    <t xml:space="preserve">1.5 servings/pouch. Filter creek water at Star's Rest before cooking.</t>
  </si>
  <si>
    <t xml:space="preserve">Adult can: 3 pouches (4.5 svgs ÷ 4 = 1.1 svg each) · Scout can: 2 pouches (3 svgs ÷ 3 = 1 svg each)</t>
  </si>
  <si>
    <t xml:space="preserve">Mission Street Taco Flour Tortillas</t>
  </si>
  <si>
    <t xml:space="preserve">2/person</t>
  </si>
  <si>
    <t xml:space="preserve">Scout cans only (3 scouts × 2 = 6)</t>
  </si>
  <si>
    <t xml:space="preserve">Adults: bring own coffee or tea supplies</t>
  </si>
  <si>
    <t xml:space="preserve">Adult cans only (4 adults × 2 = 8)</t>
  </si>
  <si>
    <t xml:space="preserve">SAT APR 4 — DESSERT  🍮  Crème Brûlée</t>
  </si>
  <si>
    <t xml:space="preserve">Boil water, pour in, wait 10 min. Buddy pairs share 1 pouch. Check label for nut-allergy scout.</t>
  </si>
  <si>
    <t xml:space="preserve">Backpacker's Pantry – Crème Brûlée</t>
  </si>
  <si>
    <t xml:space="preserve">1 pouch per 2 people; buddy pairs share. ⚠ Check label for cashews (allergy scout)</t>
  </si>
  <si>
    <t xml:space="preserve">SUN APR 5 — BREAKFAST  (grab &amp; go — MET-Rx Big100)</t>
  </si>
  <si>
    <t xml:space="preserve">Fill water at Star's Rest before departing — completely dry ridgeline ahead. Cattle on ranchland today.</t>
  </si>
  <si>
    <t xml:space="preserve">1/person; ⚠ NUT: swap → No Nuts! bar for allergy scout</t>
  </si>
  <si>
    <t xml:space="preserve">Scout cans only — boil water for drinks ONLY</t>
  </si>
  <si>
    <t xml:space="preserve">Adult cans only — boil water for drinks ONLY</t>
  </si>
  <si>
    <t xml:space="preserve">SUN APR 5 — SNACKS  (individual — all cans)</t>
  </si>
  <si>
    <t xml:space="preserve">Hardest climb-per-mile day. 2× Gatorade covers electrolytes. Eat before you feel hungry.</t>
  </si>
  <si>
    <t xml:space="preserve">Safe ✓</t>
  </si>
  <si>
    <t xml:space="preserve">Kind – Dark Choc Nuts &amp; Sea Salt Bar</t>
  </si>
  <si>
    <t xml:space="preserve">⚠ NUT: swap → 88 Acres bar for allergy scout</t>
  </si>
  <si>
    <t xml:space="preserve">×2/person; hardest climbing day</t>
  </si>
  <si>
    <t xml:space="preserve">Banana Chips (1 oz/person) — nut-free ✓</t>
  </si>
  <si>
    <t xml:space="preserve">SUN APR 5 — ADULT SUPPLEMENT  🟠  Adult cans only</t>
  </si>
  <si>
    <t xml:space="preserve">Pre-pack labelled 'Adult Cans Only'. Closes calorie gap to within target for adults.</t>
  </si>
  <si>
    <t xml:space="preserve">Clif Builder's – Crunchy Peanut Butter</t>
  </si>
  <si>
    <t xml:space="preserve">Pre-dinner — adult cans only; ⚠ NUT</t>
  </si>
  <si>
    <t xml:space="preserve">Any time — adult cans only; ⚠ NUT</t>
  </si>
  <si>
    <t xml:space="preserve">SUN APR 5 — LUNCH  (NO COOK — chicken wraps)</t>
  </si>
  <si>
    <t xml:space="preserve">Different format from Sat charcuterie and Mon PB wraps.</t>
  </si>
  <si>
    <t xml:space="preserve">Chicken of the Sea Shredded Chicken Pouch</t>
  </si>
  <si>
    <t xml:space="preserve">1/person</t>
  </si>
  <si>
    <t xml:space="preserve">Clif Bar – Crunchy Peanut Butter</t>
  </si>
  <si>
    <t xml:space="preserve">⚠ NUT: swap → Clif Chocolate Chip for allergy scout</t>
  </si>
  <si>
    <t xml:space="preserve">⚠ NUT: swap → Once Again Sunflower Butter for allergy scout</t>
  </si>
  <si>
    <t xml:space="preserve">SUN APR 5 — DINNER  (hot, communal — Maggie's Half Acre)</t>
  </si>
  <si>
    <t xml:space="preserve">Two stoves simultaneously. Open meadow — shelter from wind. Fill water bottles before bed.</t>
  </si>
  <si>
    <t xml:space="preserve">1.5 svgs/pouch; adult: 3 pouches, scout: 2 pouches</t>
  </si>
  <si>
    <t xml:space="preserve">Idahoan Mashed Potatoes – Butter &amp; Herb</t>
  </si>
  <si>
    <t xml:space="preserve">Scout cans only</t>
  </si>
  <si>
    <t xml:space="preserve">Adult cans only</t>
  </si>
  <si>
    <t xml:space="preserve">SUN APR 5 — DESSERT  🍫  Justin's Dark Choc PB Cups</t>
  </si>
  <si>
    <t xml:space="preserve">No prep. Campfire treat. Great stargazing at Maggie's Half Acre.</t>
  </si>
  <si>
    <t xml:space="preserve">Justin's Dark Chocolate Peanut Butter Cups</t>
  </si>
  <si>
    <t xml:space="preserve">1/person; ⚠ NUT: swap → Honey Stinger waffle for allergy scout</t>
  </si>
  <si>
    <t xml:space="preserve">MON APR 6 — BREAKFAST  (grab &amp; go — ProBar Meal)</t>
  </si>
  <si>
    <t xml:space="preserve">Eat while packing. No stove for food. Exit at Lake Del Valle by afternoon.</t>
  </si>
  <si>
    <t xml:space="preserve">1/person; ⚠ NUT (cashews): swap → No Nuts! bar for allergy scout</t>
  </si>
  <si>
    <t xml:space="preserve">Scout cans only — drinks only</t>
  </si>
  <si>
    <t xml:space="preserve">Adult cans only — drinks only</t>
  </si>
  <si>
    <t xml:space="preserve">MON APR 6 — SNACKS  (hip-belt pocket)</t>
  </si>
  <si>
    <t xml:space="preserve">No communal lunch — wait, there is one! Keep snacks accessible too.</t>
  </si>
  <si>
    <t xml:space="preserve">×1/person</t>
  </si>
  <si>
    <t xml:space="preserve">Peak Refuel – Fudge Brownie Bites (2 pouches/can)</t>
  </si>
  <si>
    <t xml:space="preserve">MON APR 6 — LUNCH  (NO COOK — PB tortilla wraps)</t>
  </si>
  <si>
    <t xml:space="preserve">Ultralight exit day lunch. Different from Sat charcuterie and Sun chicken wraps.</t>
  </si>
  <si>
    <t xml:space="preserve">GRAND TOTAL — All 3 Days (per bear can type)</t>
  </si>
  <si>
    <t xml:space="preserve">Adult can = 4 people · Scout can = 3 people · 2 adult cans + 4 scout cans = 20 people total</t>
  </si>
  <si>
    <t xml:space="preserve">SUM all sections</t>
  </si>
  <si>
    <t xml:space="preserve">PER PERSON</t>
  </si>
  <si>
    <t xml:space="preserve">Master Shopping List — 20 People · 6 Bear Cans  |  April 4–6, 2026</t>
  </si>
  <si>
    <t xml:space="preserve">🟡 Yellow = bulk buy (Costco/Amazon)  |  🟠 Orange = adult cans only  |  Adult can = 4 ppl · Scout can = 3 ppl  |  2 adult + 4 scout cans</t>
  </si>
  <si>
    <t xml:space="preserve">Group total $</t>
  </si>
  <si>
    <t xml:space="preserve">Group oz</t>
  </si>
  <si>
    <t xml:space="preserve">Where to Buy</t>
  </si>
  <si>
    <t xml:space="preserve">⚠ NUT ALLERGY SWAP: No Nuts! Chocolate Chip bar (contains: peanuts, almonds, tree nuts)</t>
  </si>
  <si>
    <t xml:space="preserve">⚠ NUT ALLERGY SWAP: No Nuts! bar (different flavor) (contains: cashews)</t>
  </si>
  <si>
    <t xml:space="preserve">Amazon 6-pack ~$7.49 — Sat dinner (1.5 svgs/pouch)</t>
  </si>
  <si>
    <t xml:space="preserve">Amazon 6-pack ~$7.49 — Sun dinner (1.5 svgs/pouch)</t>
  </si>
  <si>
    <t xml:space="preserve">⚠ NUT ALLERGY SWAP: Honey Stinger Gold Waffle if confirmed (contains: check label — may contain cashews)</t>
  </si>
  <si>
    <t xml:space="preserve">⚠ NUT ALLERGY SWAP: Honey Stinger waffle or Enjoy Life choc (contains: peanuts, almonds)</t>
  </si>
  <si>
    <t xml:space="preserve">Deli / Amazon — Sat lunch; 1/person</t>
  </si>
  <si>
    <t xml:space="preserve">Safeway / Walmart — Sat lunch; 1/person</t>
  </si>
  <si>
    <t xml:space="preserve">Walmart / Safeway — Sun lunch; 1/person</t>
  </si>
  <si>
    <t xml:space="preserve">Safeway / Walmart — 6/person (Sat din + Sun lunch + Mon lunch)</t>
  </si>
  <si>
    <t xml:space="preserve">Safeway / Costco — 4/person (Sat din ×2 + Sat lunch ×1 + Sun lunch ×1)</t>
  </si>
  <si>
    <t xml:space="preserve">⚠ NUT ALLERGY SWAP: Once Again Sunflower Butter squeeze (contains: peanuts)</t>
  </si>
  <si>
    <t xml:space="preserve">Walmart / grocery — Sun dinner; 1/person</t>
  </si>
  <si>
    <t xml:space="preserve">Costco 24-pack ~$24.99 — Sat snacks only (SUN removed)</t>
  </si>
  <si>
    <t xml:space="preserve">Costco 24-pack ~$24.99 — Sun snacks only (MON removed)</t>
  </si>
  <si>
    <t xml:space="preserve">Amazon Subscribe &amp; Save ~$2.19 — 1/person × 3 snack days</t>
  </si>
  <si>
    <t xml:space="preserve">⚠ NUT ALLERGY SWAP: Clif Bar Chocolate Chip (contains: peanuts)</t>
  </si>
  <si>
    <t xml:space="preserve">⚠ NUT ALLERGY SWAP: Clif Builder's Chocolate Mint or similar (contains: peanuts)</t>
  </si>
  <si>
    <t xml:space="preserve">Justin's Classic PB Squeeze Pack (adult supp)</t>
  </si>
  <si>
    <t xml:space="preserve">Walmart 30ct — scout cans only; 3 scouts × 2 mornings</t>
  </si>
  <si>
    <t xml:space="preserve">Amazon 32-ct ~$0.38 — 4/person (1+2+1 days)</t>
  </si>
  <si>
    <t xml:space="preserve">Peak Refuel – Fudge Brownie Bites</t>
  </si>
  <si>
    <t xml:space="preserve">REI / Amazon / peak-refuel.com — Mon afternoon snack · no cook · nut-free ✓</t>
  </si>
  <si>
    <t xml:space="preserve">⚠  NUT ALLERGY SCOUT — Personal Swap Bag (pre-pack before trip, label with scout's name)</t>
  </si>
  <si>
    <t xml:space="preserve">88 Acres Seed + Oat Bars (variety — allergy scout)</t>
  </si>
  <si>
    <t xml:space="preserve">Amazon 12-pack ~$26.99 — replaces Kind PB (Sat) + Kind DCS (Sun) for allergy scout</t>
  </si>
  <si>
    <t xml:space="preserve">Clif Bar – Chocolate Chip (nut-free swap)</t>
  </si>
  <si>
    <t xml:space="preserve">Add to main Costco Clif order — replaces Clif PB (Mon snack + Sun lunch)</t>
  </si>
  <si>
    <t xml:space="preserve">Once Again Organic Sunflower Butter Squeeze Pack</t>
  </si>
  <si>
    <t xml:space="preserve">Amazon 10-pack ~$14.99 — replaces Justin's PB on Sun + Mon lunch</t>
  </si>
  <si>
    <t xml:space="preserve">Honey Stinger Gold Waffle (allergy scout contingency)</t>
  </si>
  <si>
    <t xml:space="preserve">REI / Amazon — Sat dessert if BP Crème Brûlée contains cashews</t>
  </si>
  <si>
    <t xml:space="preserve">Trader Joe's Dried Mango Slices (1 oz/person)</t>
  </si>
  <si>
    <t xml:space="preserve">Trader Joe's — Sat snack · nut-free ✓</t>
  </si>
  <si>
    <t xml:space="preserve">Banana Chips (1 oz/person)</t>
  </si>
  <si>
    <t xml:space="preserve">Costco / Amazon — Sun snack · nut-free ✓</t>
  </si>
  <si>
    <t xml:space="preserve">GRAND TOTAL — ALL FOOD (20 people)</t>
  </si>
  <si>
    <t xml:space="preserve">Per person (÷ 20)</t>
  </si>
  <si>
    <t xml:space="preserve">Adult cans total (×2)</t>
  </si>
  <si>
    <t xml:space="preserve">Scout cans total (×4)</t>
  </si>
  <si>
    <t xml:space="preserve">🟡 Bulk = Costco/Amazon  |  🟠 Orange = adult cans only  |  ⚠ Nut items highlighted — see allergy sheet for 1 scout's swap bag  |  Bear cans required overnight</t>
  </si>
  <si>
    <t xml:space="preserve">Nut Allergy Accommodation — Individual Scout Carry Pack</t>
  </si>
  <si>
    <t xml:space="preserve">Pre-pack all items in a labelled zip-lock or dry bag for this scout. They carry it personally and swap at each nut-item moment. Main patrol plan is UNCHANGED for all 19 others. Total extra cost ~$18–22.</t>
  </si>
  <si>
    <t xml:space="preserve">Remove (has nuts)</t>
  </si>
  <si>
    <t xml:space="preserve">Nuts in it</t>
  </si>
  <si>
    <t xml:space="preserve">Replace with</t>
  </si>
  <si>
    <t xml:space="preserve">Why safe</t>
  </si>
  <si>
    <t xml:space="preserve">kcal</t>
  </si>
  <si>
    <t xml:space="preserve">Where to buy</t>
  </si>
  <si>
    <t xml:space="preserve">Snacks</t>
  </si>
  <si>
    <t xml:space="preserve">Peanuts, almonds</t>
  </si>
  <si>
    <t xml:space="preserve">88 Acres Dark Choc Sea Salt Seed + Oat Bar</t>
  </si>
  <si>
    <t xml:space="preserve">Dedicated nut-free bakery. Free from top 9 allergens.</t>
  </si>
  <si>
    <t xml:space="preserve">Amazon / 88acres.com</t>
  </si>
  <si>
    <t xml:space="preserve">Kind Caramel Almond &amp; Peanut</t>
  </si>
  <si>
    <t xml:space="preserve">Almonds, peanuts</t>
  </si>
  <si>
    <t xml:space="preserve">88 Acres Cinnamon Maple Seed + Oat Bar</t>
  </si>
  <si>
    <t xml:space="preserve">Same nut-free facility.</t>
  </si>
  <si>
    <t xml:space="preserve">Dessert</t>
  </si>
  <si>
    <t xml:space="preserve">BP Crème Brûlée</t>
  </si>
  <si>
    <t xml:space="preserve">CHECK LABEL — may contain cashews</t>
  </si>
  <si>
    <t xml:space="preserve">Honey Stinger Gold Waffle (if cashews confirmed)</t>
  </si>
  <si>
    <t xml:space="preserve">Honey Stinger: simple ingredients, no nuts.</t>
  </si>
  <si>
    <t xml:space="preserve">REI / Amazon — check label first</t>
  </si>
  <si>
    <t xml:space="preserve">Breakfast</t>
  </si>
  <si>
    <t xml:space="preserve">MET-Rx Big100 Super Cookie Crunch</t>
  </si>
  <si>
    <t xml:space="preserve">Peanuts, almonds, tree nuts</t>
  </si>
  <si>
    <t xml:space="preserve">No Nuts! Chocolate Chip Protein Bar</t>
  </si>
  <si>
    <t xml:space="preserve">Certified 100% nut-free facility. 12g protein.</t>
  </si>
  <si>
    <t xml:space="preserve">Amazon / gononuts.com</t>
  </si>
  <si>
    <t xml:space="preserve">88 Acres bar (any flavor)</t>
  </si>
  <si>
    <t xml:space="preserve">Kind Dark Choc Sea Salt Bar</t>
  </si>
  <si>
    <t xml:space="preserve">Almonds, peanuts, cashews</t>
  </si>
  <si>
    <t xml:space="preserve">Lunch</t>
  </si>
  <si>
    <t xml:space="preserve">Peanuts</t>
  </si>
  <si>
    <t xml:space="preserve">Clif Bar – Chocolate Chip</t>
  </si>
  <si>
    <t xml:space="preserve">Clif Chocolate Chip: no nuts in ingredients.</t>
  </si>
  <si>
    <t xml:space="preserve">Add to main Costco Clif order</t>
  </si>
  <si>
    <t xml:space="preserve">Justin's Classic PB Squeeze</t>
  </si>
  <si>
    <t xml:space="preserve">Once Again Sunflower Butter Squeeze Pack</t>
  </si>
  <si>
    <t xml:space="preserve">Made in peanut-free facility. Free from top 9 allergens.</t>
  </si>
  <si>
    <t xml:space="preserve">Amazon ~$1.50/pack</t>
  </si>
  <si>
    <t xml:space="preserve">Honey Stinger Gold Waffle OR Enjoy Life Dark Choc</t>
  </si>
  <si>
    <t xml:space="preserve">Honey Stinger: no nuts. Enjoy Life: top-14 allergen free.</t>
  </si>
  <si>
    <t xml:space="preserve">REI / Amazon</t>
  </si>
  <si>
    <t xml:space="preserve">ProBar Meal Oatmeal Choc Chip</t>
  </si>
  <si>
    <t xml:space="preserve">Cashews</t>
  </si>
  <si>
    <t xml:space="preserve">No Nuts! Cinnamon Roll or Caramel Mocha (diff from Sun)</t>
  </si>
  <si>
    <t xml:space="preserve">Same certified nut-free facility.</t>
  </si>
  <si>
    <t xml:space="preserve">Same swap as Sunday.</t>
  </si>
  <si>
    <t xml:space="preserve">Add to main Costco order</t>
  </si>
  <si>
    <t xml:space="preserve">Amazon</t>
  </si>
  <si>
    <t xml:space="preserve">NO NUTS ✓</t>
  </si>
  <si>
    <t xml:space="preserve">KEEP — safe as-is</t>
  </si>
  <si>
    <t xml:space="preserve">Ingredients: flour, butter, sugar, cocoa, oil. No nuts.</t>
  </si>
  <si>
    <t xml:space="preserve">Safe — no swap needed</t>
  </si>
  <si>
    <t xml:space="preserve">WHAT STAYS SAFE — NO SWAP NEEDED</t>
  </si>
  <si>
    <t xml:space="preserve">All days</t>
  </si>
  <si>
    <t xml:space="preserve">Dinner</t>
  </si>
  <si>
    <t xml:space="preserve">Peak Refuel Beef Pasta Marinara + Stroganoff</t>
  </si>
  <si>
    <t xml:space="preserve">No nuts ✓</t>
  </si>
  <si>
    <t xml:space="preserve">Tortillas, Tillamook Cheddar, Idahoan Mash</t>
  </si>
  <si>
    <t xml:space="preserve">All nut-free ✓</t>
  </si>
  <si>
    <t xml:space="preserve">Columbus Salami + Wasa Crackers + Tillamook</t>
  </si>
  <si>
    <t xml:space="preserve">No nuts — soy only ✓</t>
  </si>
  <si>
    <t xml:space="preserve">No nuts ✓ (flour, butter, cocoa only)</t>
  </si>
  <si>
    <t xml:space="preserve">Drinks</t>
  </si>
  <si>
    <t xml:space="preserve">Gatorade / Swiss Miss / own coffee (adults)</t>
  </si>
  <si>
    <t xml:space="preserve">Sun+Mon</t>
  </si>
  <si>
    <t xml:space="preserve">✅  All allergy swap items to buy are listed in the Shopping List tab (amber section at bottom)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</si>
</sst>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\$#,##0.00"/>
    <numFmt numFmtId="167" formatCode="0.00"/>
    <numFmt numFmtId="168" formatCode="#,##0&quot;  adult kcal&quot;"/>
    <numFmt numFmtId="169" formatCode="#,##0&quot;  scout kcal&quot;"/>
    <numFmt numFmtId="170" formatCode="\$#,##0.00&quot;  adult&quot;"/>
    <numFmt numFmtId="171" formatCode="\$#,##0.00&quot;  scout&quot;"/>
    <numFmt numFmtId="172" formatCode="General"/>
    <numFmt numFmtId="173" formatCode="#,##0&quot; kcal adult&quot;"/>
    <numFmt numFmtId="174" formatCode="#,##0&quot; kcal scout&quot;"/>
    <numFmt numFmtId="175" formatCode="\$#,##0.00&quot; adult&quot;"/>
    <numFmt numFmtId="176" formatCode="\$#,##0.00&quot; scout&quot;"/>
    <numFmt numFmtId="177" formatCode="#,##0&quot; kcal (adult)&quot;"/>
    <numFmt numFmtId="178" formatCode="#,##0&quot; kcal (scout)&quot;"/>
    <numFmt numFmtId="179" formatCode="\$#,##0.00&quot; (adult)&quot;"/>
    <numFmt numFmtId="180" formatCode="\$#,##0.00&quot; (scout)&quot;"/>
    <numFmt numFmtId="181" formatCode="\$#,##0.00&quot;  group&quot;"/>
    <numFmt numFmtId="182" formatCode="0.00&quot;  oz&quot;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8C7B6B"/>
      <name val="Arial"/>
      <family val="0"/>
      <charset val="1"/>
    </font>
    <font>
      <b val="true"/>
      <sz val="9"/>
      <color rgb="FF1F5F8B"/>
      <name val="Arial"/>
      <family val="0"/>
      <charset val="1"/>
    </font>
    <font>
      <sz val="9"/>
      <color rgb="FF1F5F8B"/>
      <name val="Arial"/>
      <family val="0"/>
      <charset val="1"/>
    </font>
    <font>
      <sz val="12"/>
      <color rgb="FF8C7B6B"/>
      <name val="Arial"/>
      <family val="0"/>
      <charset val="1"/>
    </font>
    <font>
      <sz val="10"/>
      <color rgb="FF8C7B6B"/>
      <name val="Arial"/>
      <family val="0"/>
      <charset val="1"/>
    </font>
    <font>
      <sz val="10"/>
      <color rgb="FF3B2F2F"/>
      <name val="Arial"/>
      <family val="0"/>
      <charset val="1"/>
    </font>
    <font>
      <b val="true"/>
      <sz val="10"/>
      <color rgb="FF4A6741"/>
      <name val="Arial"/>
      <family val="0"/>
      <charset val="1"/>
    </font>
    <font>
      <i val="true"/>
      <sz val="9"/>
      <color rgb="FF8C7B6B"/>
      <name val="Arial"/>
      <family val="0"/>
      <charset val="1"/>
    </font>
    <font>
      <b val="true"/>
      <sz val="10"/>
      <color rgb="FF8C7B6B"/>
      <name val="Arial"/>
      <family val="0"/>
      <charset val="1"/>
    </font>
    <font>
      <i val="true"/>
      <sz val="9"/>
      <color rgb="FF8C4A2F"/>
      <name val="Arial"/>
      <family val="0"/>
      <charset val="1"/>
    </font>
    <font>
      <sz val="10"/>
      <color rgb="FF7B3F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B3F00"/>
      <name val="Arial"/>
      <family val="0"/>
      <charset val="1"/>
    </font>
    <font>
      <sz val="10"/>
      <color rgb="FF1F2D3D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833C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B3F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4"/>
      <color rgb="FF7B3F00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1A5C1A"/>
      <name val="Arial"/>
      <family val="0"/>
      <charset val="1"/>
    </font>
    <font>
      <sz val="10"/>
      <color rgb="FF1A5C1A"/>
      <name val="Arial"/>
      <family val="0"/>
      <charset val="1"/>
    </font>
    <font>
      <i val="true"/>
      <sz val="10"/>
      <color rgb="FF1A5C1A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i val="true"/>
      <sz val="10"/>
      <color rgb="FF1A5C1A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F5F8B"/>
      </patternFill>
    </fill>
    <fill>
      <patternFill patternType="solid">
        <fgColor rgb="FF2E75B6"/>
        <bgColor rgb="FF1F5F8B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4EDFB"/>
      </patternFill>
    </fill>
    <fill>
      <patternFill patternType="solid">
        <fgColor rgb="FFC9DAF8"/>
        <bgColor rgb="FFBDD7EE"/>
      </patternFill>
    </fill>
    <fill>
      <patternFill patternType="solid">
        <fgColor rgb="FFC00000"/>
        <bgColor rgb="FF800000"/>
      </patternFill>
    </fill>
    <fill>
      <patternFill patternType="solid">
        <fgColor rgb="FFEDE5D4"/>
        <bgColor rgb="FFF0EAD6"/>
      </patternFill>
    </fill>
    <fill>
      <patternFill patternType="solid">
        <fgColor rgb="FFF5F0E8"/>
        <bgColor rgb="FFF4EDFB"/>
      </patternFill>
    </fill>
    <fill>
      <patternFill patternType="solid">
        <fgColor rgb="FF4A6741"/>
        <bgColor rgb="FF595959"/>
      </patternFill>
    </fill>
    <fill>
      <patternFill patternType="solid">
        <fgColor rgb="FFBDD7EE"/>
        <bgColor rgb="FFC9DAF8"/>
      </patternFill>
    </fill>
    <fill>
      <patternFill patternType="solid">
        <fgColor rgb="FFFFF3CD"/>
        <bgColor rgb="FFFFF2CC"/>
      </patternFill>
    </fill>
    <fill>
      <patternFill patternType="solid">
        <fgColor rgb="FFF0EAD6"/>
        <bgColor rgb="FFEDE5D4"/>
      </patternFill>
    </fill>
    <fill>
      <patternFill patternType="solid">
        <fgColor rgb="FF595959"/>
        <bgColor rgb="FF4A6741"/>
      </patternFill>
    </fill>
    <fill>
      <patternFill patternType="solid">
        <fgColor rgb="FF7030A0"/>
        <bgColor rgb="FF800080"/>
      </patternFill>
    </fill>
    <fill>
      <patternFill patternType="solid">
        <fgColor rgb="FFF4EDFB"/>
        <bgColor rgb="FFEEF4FB"/>
      </patternFill>
    </fill>
    <fill>
      <patternFill patternType="solid">
        <fgColor rgb="FF833C00"/>
        <bgColor rgb="FF7B3F00"/>
      </patternFill>
    </fill>
    <fill>
      <patternFill patternType="solid">
        <fgColor rgb="FFFCE4D6"/>
        <bgColor rgb="FFF0EAD6"/>
      </patternFill>
    </fill>
    <fill>
      <patternFill patternType="solid">
        <fgColor rgb="FFFFF2CC"/>
        <bgColor rgb="FFFFF3CD"/>
      </patternFill>
    </fill>
    <fill>
      <patternFill patternType="solid">
        <fgColor rgb="FF7B3F00"/>
        <bgColor rgb="FF833C00"/>
      </patternFill>
    </fill>
    <fill>
      <patternFill patternType="solid">
        <fgColor rgb="FFE8F5E9"/>
        <bgColor rgb="FFEEF4FB"/>
      </patternFill>
    </fill>
    <fill>
      <patternFill patternType="solid">
        <fgColor rgb="FF2E7D32"/>
        <bgColor rgb="FF4A6741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  <border diagonalUp="false" diagonalDown="false">
      <left/>
      <right/>
      <top style="thin">
        <color rgb="FFD0C8BC"/>
      </top>
      <bottom style="thin">
        <color rgb="FFD0C8BC"/>
      </bottom>
      <diagonal/>
    </border>
    <border diagonalUp="false" diagonalDown="false">
      <left/>
      <right style="thin">
        <color rgb="FFD0C8BC"/>
      </right>
      <top style="thin">
        <color rgb="FFD0C8BC"/>
      </top>
      <bottom style="thin">
        <color rgb="FFD0C8B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3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2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3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2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4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8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9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8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8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7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8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8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3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3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0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1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5F0E8"/>
      <rgbColor rgb="FFFF00FF"/>
      <rgbColor rgb="FF00FFFF"/>
      <rgbColor rgb="FF800000"/>
      <rgbColor rgb="FF1A5C1A"/>
      <rgbColor rgb="FF000080"/>
      <rgbColor rgb="FF4A6741"/>
      <rgbColor rgb="FF800080"/>
      <rgbColor rgb="FF008080"/>
      <rgbColor rgb="FFD0C8BC"/>
      <rgbColor rgb="FF8C7B6B"/>
      <rgbColor rgb="FFF4EDFB"/>
      <rgbColor rgb="FF8C4A2F"/>
      <rgbColor rgb="FFFFF3CD"/>
      <rgbColor rgb="FFE8F5E9"/>
      <rgbColor rgb="FF660066"/>
      <rgbColor rgb="FFFF8080"/>
      <rgbColor rgb="FF1F5F8B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0EAD6"/>
      <rgbColor rgb="FFFFF2CC"/>
      <rgbColor rgb="FFBDD7EE"/>
      <rgbColor rgb="FFEDE5D4"/>
      <rgbColor rgb="FFCCCCCC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2D3D"/>
      <rgbColor rgb="FF2E7D32"/>
      <rgbColor rgb="FF003300"/>
      <rgbColor rgb="FF7B3F00"/>
      <rgbColor rgb="FF833C00"/>
      <rgbColor rgb="FF7030A0"/>
      <rgbColor rgb="FF1F4E7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36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5.5" hidden="false" customHeight="true" outlineLevel="0" collapsed="false">
      <c r="A5" s="5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customFormat="false" ht="18" hidden="false" customHeight="true" outlineLevel="0" collapsed="false">
      <c r="A6" s="6" t="s">
        <v>12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/>
      <c r="I6" s="7"/>
      <c r="J6" s="7" t="s">
        <v>19</v>
      </c>
    </row>
    <row r="7" customFormat="false" ht="18" hidden="false" customHeight="true" outlineLevel="0" collapsed="false">
      <c r="A7" s="8" t="s">
        <v>20</v>
      </c>
      <c r="B7" s="9" t="s">
        <v>21</v>
      </c>
      <c r="C7" s="9" t="s">
        <v>21</v>
      </c>
      <c r="D7" s="9" t="s">
        <v>21</v>
      </c>
      <c r="E7" s="9" t="s">
        <v>21</v>
      </c>
      <c r="F7" s="9" t="s">
        <v>22</v>
      </c>
      <c r="G7" s="9" t="s">
        <v>22</v>
      </c>
      <c r="H7" s="9"/>
      <c r="I7" s="9"/>
      <c r="J7" s="9"/>
    </row>
    <row r="8" customFormat="false" ht="18" hidden="false" customHeight="true" outlineLevel="0" collapsed="false">
      <c r="A8" s="6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25</v>
      </c>
      <c r="G8" s="7" t="s">
        <v>25</v>
      </c>
      <c r="H8" s="7"/>
      <c r="I8" s="7"/>
      <c r="J8" s="7" t="s">
        <v>26</v>
      </c>
    </row>
    <row r="9" customFormat="false" ht="18" hidden="false" customHeight="true" outlineLevel="0" collapsed="false">
      <c r="A9" s="8" t="s">
        <v>27</v>
      </c>
      <c r="B9" s="9" t="s">
        <v>28</v>
      </c>
      <c r="C9" s="9" t="s">
        <v>28</v>
      </c>
      <c r="D9" s="9" t="s">
        <v>28</v>
      </c>
      <c r="E9" s="9" t="s">
        <v>28</v>
      </c>
      <c r="F9" s="9" t="s">
        <v>28</v>
      </c>
      <c r="G9" s="9" t="s">
        <v>28</v>
      </c>
      <c r="H9" s="9"/>
      <c r="I9" s="9"/>
      <c r="J9" s="9" t="s">
        <v>29</v>
      </c>
    </row>
    <row r="11" customFormat="false" ht="21.75" hidden="false" customHeight="true" outlineLevel="0" collapsed="false">
      <c r="A11" s="4" t="s">
        <v>30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25.5" hidden="false" customHeight="true" outlineLevel="0" collapsed="false">
      <c r="A12" s="5" t="s">
        <v>31</v>
      </c>
      <c r="B12" s="5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39</v>
      </c>
      <c r="J12" s="5" t="s">
        <v>11</v>
      </c>
    </row>
    <row r="13" customFormat="false" ht="21.75" hidden="false" customHeight="true" outlineLevel="0" collapsed="false">
      <c r="A13" s="10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  <c r="H13" s="10" t="s">
        <v>47</v>
      </c>
      <c r="I13" s="10" t="s">
        <v>48</v>
      </c>
      <c r="J13" s="10" t="s">
        <v>49</v>
      </c>
    </row>
    <row r="14" customFormat="false" ht="21.75" hidden="false" customHeight="true" outlineLevel="0" collapsed="false">
      <c r="A14" s="11" t="s">
        <v>50</v>
      </c>
      <c r="B14" s="11" t="s">
        <v>51</v>
      </c>
      <c r="C14" s="11" t="s">
        <v>52</v>
      </c>
      <c r="D14" s="11" t="s">
        <v>53</v>
      </c>
      <c r="E14" s="11" t="s">
        <v>54</v>
      </c>
      <c r="F14" s="11" t="s">
        <v>55</v>
      </c>
      <c r="G14" s="11" t="s">
        <v>56</v>
      </c>
      <c r="H14" s="11" t="s">
        <v>57</v>
      </c>
      <c r="I14" s="11" t="s">
        <v>58</v>
      </c>
      <c r="J14" s="11" t="s">
        <v>59</v>
      </c>
    </row>
    <row r="15" customFormat="false" ht="21.75" hidden="false" customHeight="true" outlineLevel="0" collapsed="false">
      <c r="A15" s="10" t="s">
        <v>60</v>
      </c>
      <c r="B15" s="10" t="s">
        <v>61</v>
      </c>
      <c r="C15" s="10" t="s">
        <v>62</v>
      </c>
      <c r="D15" s="10" t="s">
        <v>63</v>
      </c>
      <c r="E15" s="10" t="s">
        <v>64</v>
      </c>
      <c r="F15" s="10" t="s">
        <v>65</v>
      </c>
      <c r="G15" s="10" t="s">
        <v>66</v>
      </c>
      <c r="H15" s="10" t="s">
        <v>67</v>
      </c>
      <c r="I15" s="10" t="s">
        <v>68</v>
      </c>
      <c r="J15" s="10" t="s">
        <v>69</v>
      </c>
    </row>
    <row r="16" customFormat="false" ht="21.75" hidden="false" customHeight="true" outlineLevel="0" collapsed="false">
      <c r="A16" s="12" t="s">
        <v>70</v>
      </c>
      <c r="B16" s="12"/>
      <c r="C16" s="12"/>
      <c r="D16" s="12" t="s">
        <v>71</v>
      </c>
      <c r="E16" s="12" t="s">
        <v>72</v>
      </c>
      <c r="F16" s="12" t="s">
        <v>73</v>
      </c>
      <c r="G16" s="12"/>
      <c r="H16" s="12"/>
      <c r="I16" s="12"/>
      <c r="J16" s="12"/>
    </row>
    <row r="18" customFormat="false" ht="21.75" hidden="false" customHeight="true" outlineLevel="0" collapsed="false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25.5" hidden="false" customHeight="true" outlineLevel="0" collapsed="false">
      <c r="A19" s="5"/>
      <c r="B19" s="5" t="s">
        <v>75</v>
      </c>
      <c r="C19" s="5" t="s">
        <v>76</v>
      </c>
      <c r="D19" s="5" t="s">
        <v>11</v>
      </c>
    </row>
    <row r="20" customFormat="false" ht="18" hidden="false" customHeight="true" outlineLevel="0" collapsed="false">
      <c r="A20" s="10" t="s">
        <v>77</v>
      </c>
      <c r="B20" s="10" t="s">
        <v>78</v>
      </c>
      <c r="C20" s="10" t="s">
        <v>79</v>
      </c>
      <c r="D20" s="10" t="s">
        <v>80</v>
      </c>
    </row>
    <row r="21" customFormat="false" ht="18" hidden="false" customHeight="true" outlineLevel="0" collapsed="false">
      <c r="A21" s="11" t="s">
        <v>81</v>
      </c>
      <c r="B21" s="11" t="s">
        <v>82</v>
      </c>
      <c r="C21" s="11" t="s">
        <v>82</v>
      </c>
      <c r="D21" s="11" t="s">
        <v>83</v>
      </c>
    </row>
    <row r="22" customFormat="false" ht="18" hidden="false" customHeight="true" outlineLevel="0" collapsed="false">
      <c r="A22" s="10" t="s">
        <v>84</v>
      </c>
      <c r="B22" s="10" t="s">
        <v>85</v>
      </c>
      <c r="C22" s="10" t="s">
        <v>86</v>
      </c>
      <c r="D22" s="10" t="s">
        <v>87</v>
      </c>
    </row>
    <row r="23" customFormat="false" ht="18" hidden="false" customHeight="true" outlineLevel="0" collapsed="false">
      <c r="A23" s="11" t="s">
        <v>88</v>
      </c>
      <c r="B23" s="11" t="s">
        <v>89</v>
      </c>
      <c r="C23" s="11" t="s">
        <v>89</v>
      </c>
      <c r="D23" s="11" t="s">
        <v>90</v>
      </c>
    </row>
    <row r="24" customFormat="false" ht="18" hidden="false" customHeight="true" outlineLevel="0" collapsed="false">
      <c r="A24" s="13" t="s">
        <v>91</v>
      </c>
      <c r="B24" s="13" t="s">
        <v>92</v>
      </c>
      <c r="C24" s="13" t="s">
        <v>93</v>
      </c>
      <c r="D24" s="13" t="s">
        <v>94</v>
      </c>
    </row>
    <row r="26" customFormat="false" ht="21.75" hidden="false" customHeight="true" outlineLevel="0" collapsed="false">
      <c r="A26" s="4" t="s">
        <v>95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25.5" hidden="false" customHeight="true" outlineLevel="0" collapsed="false">
      <c r="A27" s="5"/>
      <c r="B27" s="5" t="s">
        <v>96</v>
      </c>
      <c r="C27" s="5" t="s">
        <v>97</v>
      </c>
      <c r="D27" s="5" t="s">
        <v>98</v>
      </c>
      <c r="E27" s="5" t="s">
        <v>11</v>
      </c>
    </row>
    <row r="28" customFormat="false" ht="18" hidden="false" customHeight="true" outlineLevel="0" collapsed="false">
      <c r="A28" s="6" t="s">
        <v>99</v>
      </c>
      <c r="B28" s="10" t="s">
        <v>100</v>
      </c>
      <c r="C28" s="10" t="s">
        <v>101</v>
      </c>
      <c r="D28" s="10" t="s">
        <v>102</v>
      </c>
      <c r="E28" s="10" t="s">
        <v>103</v>
      </c>
    </row>
    <row r="29" customFormat="false" ht="18" hidden="false" customHeight="true" outlineLevel="0" collapsed="false">
      <c r="A29" s="8" t="s">
        <v>104</v>
      </c>
      <c r="B29" s="11" t="s">
        <v>105</v>
      </c>
      <c r="C29" s="11" t="s">
        <v>106</v>
      </c>
      <c r="D29" s="11" t="s">
        <v>107</v>
      </c>
      <c r="E29" s="11" t="s">
        <v>108</v>
      </c>
    </row>
    <row r="30" customFormat="false" ht="18" hidden="false" customHeight="true" outlineLevel="0" collapsed="false">
      <c r="A30" s="6" t="s">
        <v>109</v>
      </c>
      <c r="B30" s="10" t="s">
        <v>110</v>
      </c>
      <c r="C30" s="10" t="s">
        <v>111</v>
      </c>
      <c r="D30" s="10" t="s">
        <v>112</v>
      </c>
      <c r="E30" s="10" t="s">
        <v>113</v>
      </c>
    </row>
    <row r="32" customFormat="false" ht="21.75" hidden="false" customHeight="true" outlineLevel="0" collapsed="false">
      <c r="A32" s="14" t="s">
        <v>114</v>
      </c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24" hidden="false" customHeight="true" outlineLevel="0" collapsed="false">
      <c r="A33" s="5" t="s">
        <v>115</v>
      </c>
      <c r="B33" s="5" t="s">
        <v>116</v>
      </c>
      <c r="C33" s="5" t="s">
        <v>117</v>
      </c>
      <c r="D33" s="5" t="s">
        <v>118</v>
      </c>
      <c r="E33" s="5"/>
      <c r="F33" s="5"/>
      <c r="G33" s="5"/>
      <c r="H33" s="5"/>
      <c r="I33" s="5"/>
      <c r="J33" s="5"/>
    </row>
    <row r="34" customFormat="false" ht="21.75" hidden="false" customHeight="true" outlineLevel="0" collapsed="false">
      <c r="A34" s="10" t="s">
        <v>119</v>
      </c>
      <c r="B34" s="10" t="s">
        <v>120</v>
      </c>
      <c r="C34" s="10" t="s">
        <v>121</v>
      </c>
      <c r="D34" s="15" t="s">
        <v>122</v>
      </c>
      <c r="E34" s="15"/>
      <c r="F34" s="15"/>
      <c r="G34" s="15"/>
      <c r="H34" s="15"/>
      <c r="I34" s="15"/>
      <c r="J34" s="15"/>
    </row>
    <row r="35" customFormat="false" ht="21.75" hidden="false" customHeight="true" outlineLevel="0" collapsed="false">
      <c r="A35" s="11" t="s">
        <v>123</v>
      </c>
      <c r="B35" s="11" t="s">
        <v>124</v>
      </c>
      <c r="C35" s="11" t="s">
        <v>125</v>
      </c>
      <c r="D35" s="16" t="s">
        <v>126</v>
      </c>
      <c r="E35" s="16"/>
      <c r="F35" s="16"/>
      <c r="G35" s="16"/>
      <c r="H35" s="16"/>
      <c r="I35" s="16"/>
      <c r="J35" s="16"/>
    </row>
    <row r="36" customFormat="false" ht="21.75" hidden="false" customHeight="true" outlineLevel="0" collapsed="false">
      <c r="A36" s="17" t="s">
        <v>127</v>
      </c>
      <c r="B36" s="10" t="s">
        <v>128</v>
      </c>
      <c r="C36" s="17" t="s">
        <v>129</v>
      </c>
      <c r="D36" s="18" t="s">
        <v>130</v>
      </c>
      <c r="E36" s="18"/>
      <c r="F36" s="18"/>
      <c r="G36" s="18"/>
      <c r="H36" s="18"/>
      <c r="I36" s="18"/>
      <c r="J36" s="18"/>
    </row>
    <row r="37" customFormat="false" ht="21.75" hidden="false" customHeight="true" outlineLevel="0" collapsed="false">
      <c r="A37" s="11" t="s">
        <v>56</v>
      </c>
      <c r="B37" s="11" t="s">
        <v>124</v>
      </c>
      <c r="C37" s="11" t="s">
        <v>125</v>
      </c>
      <c r="D37" s="16" t="s">
        <v>131</v>
      </c>
      <c r="E37" s="16"/>
      <c r="F37" s="16"/>
      <c r="G37" s="16"/>
      <c r="H37" s="16"/>
      <c r="I37" s="16"/>
      <c r="J37" s="16"/>
    </row>
    <row r="38" customFormat="false" ht="21.75" hidden="false" customHeight="true" outlineLevel="0" collapsed="false">
      <c r="A38" s="10" t="s">
        <v>132</v>
      </c>
      <c r="B38" s="10" t="s">
        <v>133</v>
      </c>
      <c r="C38" s="10" t="s">
        <v>121</v>
      </c>
      <c r="D38" s="15" t="s">
        <v>134</v>
      </c>
      <c r="E38" s="15"/>
      <c r="F38" s="15"/>
      <c r="G38" s="15"/>
      <c r="H38" s="15"/>
      <c r="I38" s="15"/>
      <c r="J38" s="15"/>
    </row>
    <row r="40" customFormat="false" ht="21.75" hidden="false" customHeight="true" outlineLevel="0" collapsed="false">
      <c r="A40" s="14" t="s">
        <v>135</v>
      </c>
      <c r="B40" s="14"/>
      <c r="C40" s="14"/>
      <c r="D40" s="14"/>
      <c r="E40" s="14"/>
      <c r="F40" s="14"/>
      <c r="G40" s="14"/>
      <c r="H40" s="14"/>
      <c r="I40" s="14"/>
      <c r="J40" s="14"/>
    </row>
    <row r="41" customFormat="false" ht="24" hidden="false" customHeight="true" outlineLevel="0" collapsed="false">
      <c r="A41" s="5" t="s">
        <v>136</v>
      </c>
      <c r="B41" s="5" t="s">
        <v>137</v>
      </c>
      <c r="C41" s="5" t="s">
        <v>11</v>
      </c>
      <c r="D41" s="5"/>
      <c r="E41" s="5"/>
      <c r="F41" s="5"/>
      <c r="G41" s="5"/>
      <c r="H41" s="5"/>
      <c r="I41" s="5"/>
      <c r="J41" s="5"/>
    </row>
    <row r="42" customFormat="false" ht="19.5" hidden="false" customHeight="true" outlineLevel="0" collapsed="false">
      <c r="A42" s="17" t="s">
        <v>138</v>
      </c>
      <c r="B42" s="10" t="s">
        <v>139</v>
      </c>
      <c r="C42" s="15" t="s">
        <v>140</v>
      </c>
      <c r="D42" s="15"/>
      <c r="E42" s="15"/>
      <c r="F42" s="15"/>
      <c r="G42" s="15"/>
      <c r="H42" s="15"/>
      <c r="I42" s="15"/>
      <c r="J42" s="15"/>
    </row>
    <row r="43" customFormat="false" ht="19.5" hidden="false" customHeight="true" outlineLevel="0" collapsed="false">
      <c r="A43" s="19" t="s">
        <v>141</v>
      </c>
      <c r="B43" s="11" t="s">
        <v>142</v>
      </c>
      <c r="C43" s="16" t="s">
        <v>143</v>
      </c>
      <c r="D43" s="16"/>
      <c r="E43" s="16"/>
      <c r="F43" s="16"/>
      <c r="G43" s="16"/>
      <c r="H43" s="16"/>
      <c r="I43" s="16"/>
      <c r="J43" s="16"/>
    </row>
    <row r="44" customFormat="false" ht="19.5" hidden="false" customHeight="true" outlineLevel="0" collapsed="false">
      <c r="A44" s="17" t="s">
        <v>144</v>
      </c>
      <c r="B44" s="10" t="s">
        <v>145</v>
      </c>
      <c r="C44" s="15" t="s">
        <v>146</v>
      </c>
      <c r="D44" s="15"/>
      <c r="E44" s="15"/>
      <c r="F44" s="15"/>
      <c r="G44" s="15"/>
      <c r="H44" s="15"/>
      <c r="I44" s="15"/>
      <c r="J44" s="15"/>
    </row>
    <row r="45" customFormat="false" ht="19.5" hidden="false" customHeight="true" outlineLevel="0" collapsed="false">
      <c r="A45" s="19" t="s">
        <v>147</v>
      </c>
      <c r="B45" s="11" t="s">
        <v>148</v>
      </c>
      <c r="C45" s="16" t="s">
        <v>149</v>
      </c>
      <c r="D45" s="16"/>
      <c r="E45" s="16"/>
      <c r="F45" s="16"/>
      <c r="G45" s="16"/>
      <c r="H45" s="16"/>
      <c r="I45" s="16"/>
      <c r="J45" s="16"/>
    </row>
    <row r="46" customFormat="false" ht="19.5" hidden="false" customHeight="true" outlineLevel="0" collapsed="false">
      <c r="A46" s="17" t="s">
        <v>150</v>
      </c>
      <c r="B46" s="10" t="s">
        <v>151</v>
      </c>
      <c r="C46" s="15" t="s">
        <v>152</v>
      </c>
      <c r="D46" s="15"/>
      <c r="E46" s="15"/>
      <c r="F46" s="15"/>
      <c r="G46" s="15"/>
      <c r="H46" s="15"/>
      <c r="I46" s="15"/>
      <c r="J46" s="15"/>
    </row>
    <row r="47" customFormat="false" ht="19.5" hidden="false" customHeight="true" outlineLevel="0" collapsed="false">
      <c r="A47" s="19" t="s">
        <v>153</v>
      </c>
      <c r="B47" s="11" t="s">
        <v>154</v>
      </c>
      <c r="C47" s="16" t="s">
        <v>155</v>
      </c>
      <c r="D47" s="16"/>
      <c r="E47" s="16"/>
      <c r="F47" s="16"/>
      <c r="G47" s="16"/>
      <c r="H47" s="16"/>
      <c r="I47" s="16"/>
      <c r="J47" s="16"/>
    </row>
    <row r="48" customFormat="false" ht="19.5" hidden="false" customHeight="true" outlineLevel="0" collapsed="false">
      <c r="A48" s="17" t="s">
        <v>156</v>
      </c>
      <c r="B48" s="10" t="s">
        <v>157</v>
      </c>
      <c r="C48" s="15" t="s">
        <v>158</v>
      </c>
      <c r="D48" s="15"/>
      <c r="E48" s="15"/>
      <c r="F48" s="15"/>
      <c r="G48" s="15"/>
      <c r="H48" s="15"/>
      <c r="I48" s="15"/>
      <c r="J48" s="15"/>
    </row>
    <row r="49" customFormat="false" ht="19.5" hidden="false" customHeight="true" outlineLevel="0" collapsed="false">
      <c r="A49" s="19" t="s">
        <v>159</v>
      </c>
      <c r="B49" s="11" t="s">
        <v>160</v>
      </c>
      <c r="C49" s="16" t="s">
        <v>161</v>
      </c>
      <c r="D49" s="16"/>
      <c r="E49" s="16"/>
      <c r="F49" s="16"/>
      <c r="G49" s="16"/>
      <c r="H49" s="16"/>
      <c r="I49" s="16"/>
      <c r="J49" s="16"/>
    </row>
    <row r="50" customFormat="false" ht="19.5" hidden="false" customHeight="true" outlineLevel="0" collapsed="false">
      <c r="A50" s="17" t="s">
        <v>162</v>
      </c>
      <c r="B50" s="10" t="s">
        <v>163</v>
      </c>
      <c r="C50" s="15" t="s">
        <v>164</v>
      </c>
      <c r="D50" s="15"/>
      <c r="E50" s="15"/>
      <c r="F50" s="15"/>
      <c r="G50" s="15"/>
      <c r="H50" s="15"/>
      <c r="I50" s="15"/>
      <c r="J50" s="15"/>
    </row>
  </sheetData>
  <mergeCells count="22">
    <mergeCell ref="A1:J1"/>
    <mergeCell ref="A2:J2"/>
    <mergeCell ref="A4:J4"/>
    <mergeCell ref="A11:J11"/>
    <mergeCell ref="A18:J18"/>
    <mergeCell ref="A26:J26"/>
    <mergeCell ref="A32:J32"/>
    <mergeCell ref="D34:J34"/>
    <mergeCell ref="D35:J35"/>
    <mergeCell ref="D36:J36"/>
    <mergeCell ref="D37:J37"/>
    <mergeCell ref="D38:J38"/>
    <mergeCell ref="A40:J40"/>
    <mergeCell ref="C42:J42"/>
    <mergeCell ref="C43:J43"/>
    <mergeCell ref="C44:J44"/>
    <mergeCell ref="C45:J45"/>
    <mergeCell ref="C46:J46"/>
    <mergeCell ref="C47:J47"/>
    <mergeCell ref="C48:J48"/>
    <mergeCell ref="C49:J49"/>
    <mergeCell ref="C50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5" min="4" style="1" width="10"/>
    <col collapsed="false" customWidth="true" hidden="false" outlineLevel="0" max="6" min="6" style="1" width="28"/>
    <col collapsed="false" customWidth="true" hidden="false" outlineLevel="0" max="7" min="7" style="1" width="8"/>
  </cols>
  <sheetData>
    <row r="1" customFormat="false" ht="24" hidden="false" customHeight="true" outlineLevel="0" collapsed="false">
      <c r="A1" s="20" t="s">
        <v>165</v>
      </c>
      <c r="B1" s="20"/>
      <c r="C1" s="20"/>
      <c r="D1" s="20"/>
      <c r="E1" s="20"/>
      <c r="F1" s="20"/>
      <c r="G1" s="20"/>
    </row>
    <row r="2" customFormat="false" ht="15" hidden="false" customHeight="true" outlineLevel="0" collapsed="false">
      <c r="A2" s="21" t="s">
        <v>166</v>
      </c>
      <c r="B2" s="21"/>
      <c r="C2" s="21"/>
      <c r="D2" s="21"/>
      <c r="E2" s="21"/>
      <c r="F2" s="21"/>
      <c r="G2" s="21"/>
    </row>
    <row r="3" customFormat="false" ht="6" hidden="false" customHeight="true" outlineLevel="0" collapsed="false">
      <c r="A3" s="22"/>
      <c r="B3" s="22"/>
      <c r="C3" s="22"/>
      <c r="D3" s="22"/>
      <c r="E3" s="22"/>
      <c r="F3" s="22"/>
      <c r="G3" s="22"/>
    </row>
    <row r="4" customFormat="false" ht="18" hidden="false" customHeight="true" outlineLevel="0" collapsed="false">
      <c r="A4" s="23"/>
      <c r="B4" s="24" t="s">
        <v>167</v>
      </c>
      <c r="C4" s="24" t="s">
        <v>168</v>
      </c>
      <c r="D4" s="23" t="s">
        <v>169</v>
      </c>
      <c r="E4" s="23" t="s">
        <v>170</v>
      </c>
      <c r="F4" s="24" t="s">
        <v>11</v>
      </c>
      <c r="G4" s="23" t="s">
        <v>171</v>
      </c>
    </row>
    <row r="5" customFormat="false" ht="18.75" hidden="false" customHeight="true" outlineLevel="0" collapsed="false">
      <c r="A5" s="25" t="s">
        <v>172</v>
      </c>
      <c r="B5" s="25"/>
      <c r="C5" s="25"/>
      <c r="D5" s="25"/>
      <c r="E5" s="25"/>
      <c r="F5" s="25"/>
      <c r="G5" s="25"/>
    </row>
    <row r="6" customFormat="false" ht="13.5" hidden="false" customHeight="true" outlineLevel="0" collapsed="false">
      <c r="A6" s="26"/>
      <c r="B6" s="27" t="s">
        <v>173</v>
      </c>
      <c r="C6" s="28"/>
      <c r="D6" s="29"/>
      <c r="E6" s="29"/>
      <c r="F6" s="28"/>
      <c r="G6" s="29"/>
    </row>
    <row r="7" customFormat="false" ht="15.75" hidden="false" customHeight="true" outlineLevel="0" collapsed="false">
      <c r="A7" s="30" t="s">
        <v>174</v>
      </c>
      <c r="B7" s="31"/>
      <c r="C7" s="32" t="s">
        <v>175</v>
      </c>
      <c r="D7" s="33" t="n">
        <v>4</v>
      </c>
      <c r="E7" s="34" t="n">
        <v>3</v>
      </c>
      <c r="F7" s="35" t="s">
        <v>176</v>
      </c>
      <c r="G7" s="36"/>
    </row>
    <row r="8" customFormat="false" ht="15.75" hidden="false" customHeight="true" outlineLevel="0" collapsed="false">
      <c r="A8" s="30" t="s">
        <v>174</v>
      </c>
      <c r="B8" s="31"/>
      <c r="C8" s="32" t="s">
        <v>177</v>
      </c>
      <c r="D8" s="33" t="n">
        <v>4</v>
      </c>
      <c r="E8" s="34" t="n">
        <v>3</v>
      </c>
      <c r="F8" s="35" t="s">
        <v>176</v>
      </c>
      <c r="G8" s="36"/>
    </row>
    <row r="9" customFormat="false" ht="15.75" hidden="false" customHeight="true" outlineLevel="0" collapsed="false">
      <c r="A9" s="30" t="s">
        <v>174</v>
      </c>
      <c r="B9" s="31"/>
      <c r="C9" s="32" t="s">
        <v>178</v>
      </c>
      <c r="D9" s="33" t="n">
        <v>4</v>
      </c>
      <c r="E9" s="34" t="n">
        <v>3</v>
      </c>
      <c r="F9" s="35" t="s">
        <v>176</v>
      </c>
      <c r="G9" s="36"/>
    </row>
    <row r="10" customFormat="false" ht="15.75" hidden="false" customHeight="true" outlineLevel="0" collapsed="false">
      <c r="A10" s="30" t="s">
        <v>174</v>
      </c>
      <c r="B10" s="31"/>
      <c r="C10" s="32" t="s">
        <v>179</v>
      </c>
      <c r="D10" s="33" t="n">
        <v>4</v>
      </c>
      <c r="E10" s="34" t="n">
        <v>3</v>
      </c>
      <c r="F10" s="35" t="s">
        <v>176</v>
      </c>
      <c r="G10" s="36"/>
    </row>
    <row r="11" customFormat="false" ht="13.5" hidden="false" customHeight="true" outlineLevel="0" collapsed="false">
      <c r="A11" s="26"/>
      <c r="B11" s="27" t="s">
        <v>180</v>
      </c>
      <c r="C11" s="28"/>
      <c r="D11" s="29"/>
      <c r="E11" s="29"/>
      <c r="F11" s="28"/>
      <c r="G11" s="29"/>
    </row>
    <row r="12" customFormat="false" ht="15.75" hidden="false" customHeight="true" outlineLevel="0" collapsed="false">
      <c r="A12" s="30" t="s">
        <v>174</v>
      </c>
      <c r="B12" s="31"/>
      <c r="C12" s="32" t="s">
        <v>181</v>
      </c>
      <c r="D12" s="33" t="n">
        <v>4</v>
      </c>
      <c r="E12" s="34" t="n">
        <v>3</v>
      </c>
      <c r="F12" s="35" t="s">
        <v>182</v>
      </c>
      <c r="G12" s="36"/>
    </row>
    <row r="13" customFormat="false" ht="15.75" hidden="false" customHeight="true" outlineLevel="0" collapsed="false">
      <c r="A13" s="30" t="s">
        <v>174</v>
      </c>
      <c r="B13" s="31"/>
      <c r="C13" s="32" t="s">
        <v>183</v>
      </c>
      <c r="D13" s="33" t="n">
        <v>4</v>
      </c>
      <c r="E13" s="34" t="n">
        <v>3</v>
      </c>
      <c r="F13" s="35" t="s">
        <v>182</v>
      </c>
      <c r="G13" s="36"/>
    </row>
    <row r="14" customFormat="false" ht="15.75" hidden="false" customHeight="true" outlineLevel="0" collapsed="false">
      <c r="A14" s="30" t="s">
        <v>174</v>
      </c>
      <c r="B14" s="31"/>
      <c r="C14" s="32" t="s">
        <v>184</v>
      </c>
      <c r="D14" s="33" t="n">
        <v>4</v>
      </c>
      <c r="E14" s="34" t="n">
        <v>3</v>
      </c>
      <c r="F14" s="35" t="s">
        <v>182</v>
      </c>
      <c r="G14" s="36"/>
    </row>
    <row r="15" customFormat="false" ht="13.5" hidden="false" customHeight="true" outlineLevel="0" collapsed="false">
      <c r="A15" s="26"/>
      <c r="B15" s="27" t="s">
        <v>185</v>
      </c>
      <c r="C15" s="28"/>
      <c r="D15" s="29"/>
      <c r="E15" s="29"/>
      <c r="F15" s="28"/>
      <c r="G15" s="29"/>
    </row>
    <row r="16" customFormat="false" ht="15.75" hidden="false" customHeight="true" outlineLevel="0" collapsed="false">
      <c r="A16" s="30" t="s">
        <v>174</v>
      </c>
      <c r="B16" s="31"/>
      <c r="C16" s="32" t="s">
        <v>186</v>
      </c>
      <c r="D16" s="33" t="n">
        <v>3</v>
      </c>
      <c r="E16" s="34" t="n">
        <v>2</v>
      </c>
      <c r="F16" s="35" t="s">
        <v>187</v>
      </c>
      <c r="G16" s="36"/>
    </row>
    <row r="17" customFormat="false" ht="15.75" hidden="false" customHeight="true" outlineLevel="0" collapsed="false">
      <c r="A17" s="30" t="s">
        <v>174</v>
      </c>
      <c r="B17" s="31"/>
      <c r="C17" s="32" t="s">
        <v>188</v>
      </c>
      <c r="D17" s="33" t="n">
        <v>8</v>
      </c>
      <c r="E17" s="34" t="n">
        <v>6</v>
      </c>
      <c r="F17" s="35" t="s">
        <v>189</v>
      </c>
      <c r="G17" s="36"/>
    </row>
    <row r="18" customFormat="false" ht="15.75" hidden="false" customHeight="true" outlineLevel="0" collapsed="false">
      <c r="A18" s="30" t="s">
        <v>174</v>
      </c>
      <c r="B18" s="31"/>
      <c r="C18" s="32" t="s">
        <v>184</v>
      </c>
      <c r="D18" s="33" t="n">
        <v>4</v>
      </c>
      <c r="E18" s="34" t="n">
        <v>3</v>
      </c>
      <c r="F18" s="35" t="s">
        <v>190</v>
      </c>
      <c r="G18" s="36"/>
    </row>
    <row r="19" customFormat="false" ht="13.5" hidden="false" customHeight="true" outlineLevel="0" collapsed="false">
      <c r="A19" s="26"/>
      <c r="B19" s="27" t="s">
        <v>191</v>
      </c>
      <c r="C19" s="28"/>
      <c r="D19" s="29"/>
      <c r="E19" s="29"/>
      <c r="F19" s="28"/>
      <c r="G19" s="29"/>
    </row>
    <row r="20" customFormat="false" ht="15.75" hidden="false" customHeight="true" outlineLevel="0" collapsed="false">
      <c r="A20" s="30" t="s">
        <v>174</v>
      </c>
      <c r="B20" s="31"/>
      <c r="C20" s="32" t="s">
        <v>192</v>
      </c>
      <c r="D20" s="33" t="n">
        <v>2</v>
      </c>
      <c r="E20" s="34" t="n">
        <v>2</v>
      </c>
      <c r="F20" s="35" t="s">
        <v>193</v>
      </c>
      <c r="G20" s="36"/>
    </row>
    <row r="21" customFormat="false" ht="18.75" hidden="false" customHeight="true" outlineLevel="0" collapsed="false">
      <c r="A21" s="25" t="s">
        <v>194</v>
      </c>
      <c r="B21" s="25"/>
      <c r="C21" s="25"/>
      <c r="D21" s="25"/>
      <c r="E21" s="25"/>
      <c r="F21" s="25"/>
      <c r="G21" s="25"/>
    </row>
    <row r="22" customFormat="false" ht="13.5" hidden="false" customHeight="true" outlineLevel="0" collapsed="false">
      <c r="A22" s="26"/>
      <c r="B22" s="27" t="s">
        <v>195</v>
      </c>
      <c r="C22" s="28"/>
      <c r="D22" s="29"/>
      <c r="E22" s="29"/>
      <c r="F22" s="28"/>
      <c r="G22" s="29"/>
    </row>
    <row r="23" customFormat="false" ht="15.75" hidden="false" customHeight="true" outlineLevel="0" collapsed="false">
      <c r="A23" s="30" t="s">
        <v>174</v>
      </c>
      <c r="B23" s="31"/>
      <c r="C23" s="32" t="s">
        <v>196</v>
      </c>
      <c r="D23" s="33" t="n">
        <v>4</v>
      </c>
      <c r="E23" s="34" t="n">
        <v>3</v>
      </c>
      <c r="F23" s="35" t="s">
        <v>197</v>
      </c>
      <c r="G23" s="36"/>
    </row>
    <row r="24" customFormat="false" ht="15.75" hidden="false" customHeight="true" outlineLevel="0" collapsed="false">
      <c r="A24" s="30" t="s">
        <v>174</v>
      </c>
      <c r="B24" s="31"/>
      <c r="C24" s="32" t="s">
        <v>198</v>
      </c>
      <c r="D24" s="37" t="s">
        <v>199</v>
      </c>
      <c r="E24" s="34" t="n">
        <v>2</v>
      </c>
      <c r="F24" s="35" t="s">
        <v>200</v>
      </c>
      <c r="G24" s="36"/>
    </row>
    <row r="25" customFormat="false" ht="15.75" hidden="false" customHeight="true" outlineLevel="0" collapsed="false">
      <c r="A25" s="38" t="s">
        <v>174</v>
      </c>
      <c r="B25" s="39"/>
      <c r="C25" s="40" t="s">
        <v>201</v>
      </c>
      <c r="D25" s="41" t="s">
        <v>199</v>
      </c>
      <c r="E25" s="42" t="s">
        <v>199</v>
      </c>
      <c r="F25" s="43" t="s">
        <v>202</v>
      </c>
      <c r="G25" s="44"/>
    </row>
    <row r="26" customFormat="false" ht="13.5" hidden="false" customHeight="true" outlineLevel="0" collapsed="false">
      <c r="A26" s="26"/>
      <c r="B26" s="27" t="s">
        <v>173</v>
      </c>
      <c r="C26" s="28"/>
      <c r="D26" s="29"/>
      <c r="E26" s="29"/>
      <c r="F26" s="28"/>
      <c r="G26" s="29"/>
    </row>
    <row r="27" customFormat="false" ht="15.75" hidden="false" customHeight="true" outlineLevel="0" collapsed="false">
      <c r="A27" s="30" t="s">
        <v>174</v>
      </c>
      <c r="B27" s="31"/>
      <c r="C27" s="32" t="s">
        <v>203</v>
      </c>
      <c r="D27" s="33" t="n">
        <v>4</v>
      </c>
      <c r="E27" s="34" t="n">
        <v>3</v>
      </c>
      <c r="F27" s="35" t="s">
        <v>176</v>
      </c>
      <c r="G27" s="36"/>
    </row>
    <row r="28" customFormat="false" ht="15.75" hidden="false" customHeight="true" outlineLevel="0" collapsed="false">
      <c r="A28" s="30" t="s">
        <v>174</v>
      </c>
      <c r="B28" s="31"/>
      <c r="C28" s="32" t="s">
        <v>177</v>
      </c>
      <c r="D28" s="33" t="n">
        <v>4</v>
      </c>
      <c r="E28" s="34" t="n">
        <v>3</v>
      </c>
      <c r="F28" s="35" t="s">
        <v>176</v>
      </c>
      <c r="G28" s="36"/>
    </row>
    <row r="29" customFormat="false" ht="15.75" hidden="false" customHeight="true" outlineLevel="0" collapsed="false">
      <c r="A29" s="30" t="s">
        <v>174</v>
      </c>
      <c r="B29" s="31"/>
      <c r="C29" s="32" t="s">
        <v>178</v>
      </c>
      <c r="D29" s="33" t="n">
        <v>8</v>
      </c>
      <c r="E29" s="34" t="n">
        <v>6</v>
      </c>
      <c r="F29" s="35" t="s">
        <v>204</v>
      </c>
      <c r="G29" s="36"/>
    </row>
    <row r="30" customFormat="false" ht="15.75" hidden="false" customHeight="true" outlineLevel="0" collapsed="false">
      <c r="A30" s="30" t="s">
        <v>174</v>
      </c>
      <c r="B30" s="31"/>
      <c r="C30" s="32" t="s">
        <v>205</v>
      </c>
      <c r="D30" s="33" t="n">
        <v>4</v>
      </c>
      <c r="E30" s="34" t="n">
        <v>3</v>
      </c>
      <c r="F30" s="35" t="s">
        <v>176</v>
      </c>
      <c r="G30" s="36"/>
    </row>
    <row r="31" customFormat="false" ht="13.5" hidden="false" customHeight="true" outlineLevel="0" collapsed="false">
      <c r="A31" s="26"/>
      <c r="B31" s="27" t="s">
        <v>206</v>
      </c>
      <c r="C31" s="28"/>
      <c r="D31" s="29"/>
      <c r="E31" s="29"/>
      <c r="F31" s="28"/>
      <c r="G31" s="29"/>
    </row>
    <row r="32" customFormat="false" ht="15.75" hidden="false" customHeight="true" outlineLevel="0" collapsed="false">
      <c r="A32" s="38" t="s">
        <v>174</v>
      </c>
      <c r="B32" s="39"/>
      <c r="C32" s="45" t="s">
        <v>207</v>
      </c>
      <c r="D32" s="46" t="n">
        <v>2</v>
      </c>
      <c r="E32" s="42" t="s">
        <v>199</v>
      </c>
      <c r="F32" s="43" t="s">
        <v>202</v>
      </c>
      <c r="G32" s="44"/>
    </row>
    <row r="33" customFormat="false" ht="15.75" hidden="false" customHeight="true" outlineLevel="0" collapsed="false">
      <c r="A33" s="38" t="s">
        <v>174</v>
      </c>
      <c r="B33" s="39"/>
      <c r="C33" s="45" t="s">
        <v>208</v>
      </c>
      <c r="D33" s="46" t="n">
        <v>2</v>
      </c>
      <c r="E33" s="42" t="s">
        <v>199</v>
      </c>
      <c r="F33" s="43" t="s">
        <v>202</v>
      </c>
      <c r="G33" s="44"/>
    </row>
    <row r="34" customFormat="false" ht="13.5" hidden="false" customHeight="true" outlineLevel="0" collapsed="false">
      <c r="A34" s="26"/>
      <c r="B34" s="27" t="s">
        <v>180</v>
      </c>
      <c r="C34" s="28"/>
      <c r="D34" s="29"/>
      <c r="E34" s="29"/>
      <c r="F34" s="28"/>
      <c r="G34" s="29"/>
    </row>
    <row r="35" customFormat="false" ht="15.75" hidden="false" customHeight="true" outlineLevel="0" collapsed="false">
      <c r="A35" s="30" t="s">
        <v>174</v>
      </c>
      <c r="B35" s="31"/>
      <c r="C35" s="32" t="s">
        <v>209</v>
      </c>
      <c r="D35" s="33" t="n">
        <v>4</v>
      </c>
      <c r="E35" s="34" t="n">
        <v>3</v>
      </c>
      <c r="F35" s="35" t="s">
        <v>182</v>
      </c>
      <c r="G35" s="36"/>
    </row>
    <row r="36" customFormat="false" ht="15.75" hidden="false" customHeight="true" outlineLevel="0" collapsed="false">
      <c r="A36" s="30" t="s">
        <v>174</v>
      </c>
      <c r="B36" s="31"/>
      <c r="C36" s="32" t="s">
        <v>188</v>
      </c>
      <c r="D36" s="33" t="n">
        <v>8</v>
      </c>
      <c r="E36" s="34" t="n">
        <v>6</v>
      </c>
      <c r="F36" s="35" t="s">
        <v>210</v>
      </c>
      <c r="G36" s="36"/>
    </row>
    <row r="37" customFormat="false" ht="15.75" hidden="false" customHeight="true" outlineLevel="0" collapsed="false">
      <c r="A37" s="30" t="s">
        <v>174</v>
      </c>
      <c r="B37" s="31"/>
      <c r="C37" s="32" t="s">
        <v>184</v>
      </c>
      <c r="D37" s="33" t="n">
        <v>4</v>
      </c>
      <c r="E37" s="34" t="n">
        <v>3</v>
      </c>
      <c r="F37" s="35" t="s">
        <v>182</v>
      </c>
      <c r="G37" s="36"/>
    </row>
    <row r="38" customFormat="false" ht="15.75" hidden="false" customHeight="true" outlineLevel="0" collapsed="false">
      <c r="A38" s="30" t="s">
        <v>174</v>
      </c>
      <c r="B38" s="31"/>
      <c r="C38" s="32" t="s">
        <v>211</v>
      </c>
      <c r="D38" s="33" t="n">
        <v>4</v>
      </c>
      <c r="E38" s="34" t="n">
        <v>3</v>
      </c>
      <c r="F38" s="35" t="s">
        <v>182</v>
      </c>
      <c r="G38" s="36"/>
    </row>
    <row r="39" customFormat="false" ht="15.75" hidden="false" customHeight="true" outlineLevel="0" collapsed="false">
      <c r="A39" s="30" t="s">
        <v>174</v>
      </c>
      <c r="B39" s="31"/>
      <c r="C39" s="32" t="s">
        <v>212</v>
      </c>
      <c r="D39" s="33" t="n">
        <v>4</v>
      </c>
      <c r="E39" s="34" t="n">
        <v>3</v>
      </c>
      <c r="F39" s="35" t="s">
        <v>182</v>
      </c>
      <c r="G39" s="36"/>
    </row>
    <row r="40" customFormat="false" ht="13.5" hidden="false" customHeight="true" outlineLevel="0" collapsed="false">
      <c r="A40" s="26"/>
      <c r="B40" s="27" t="s">
        <v>185</v>
      </c>
      <c r="C40" s="28"/>
      <c r="D40" s="29"/>
      <c r="E40" s="29"/>
      <c r="F40" s="28"/>
      <c r="G40" s="29"/>
    </row>
    <row r="41" customFormat="false" ht="15.75" hidden="false" customHeight="true" outlineLevel="0" collapsed="false">
      <c r="A41" s="30" t="s">
        <v>174</v>
      </c>
      <c r="B41" s="31"/>
      <c r="C41" s="32" t="s">
        <v>213</v>
      </c>
      <c r="D41" s="33" t="n">
        <v>3</v>
      </c>
      <c r="E41" s="34" t="n">
        <v>2</v>
      </c>
      <c r="F41" s="35" t="s">
        <v>187</v>
      </c>
      <c r="G41" s="36"/>
    </row>
    <row r="42" customFormat="false" ht="15.75" hidden="false" customHeight="true" outlineLevel="0" collapsed="false">
      <c r="A42" s="30" t="s">
        <v>174</v>
      </c>
      <c r="B42" s="31"/>
      <c r="C42" s="32" t="s">
        <v>188</v>
      </c>
      <c r="D42" s="33" t="n">
        <v>8</v>
      </c>
      <c r="E42" s="34" t="n">
        <v>6</v>
      </c>
      <c r="F42" s="35" t="s">
        <v>190</v>
      </c>
      <c r="G42" s="36"/>
    </row>
    <row r="43" customFormat="false" ht="15.75" hidden="false" customHeight="true" outlineLevel="0" collapsed="false">
      <c r="A43" s="30" t="s">
        <v>174</v>
      </c>
      <c r="B43" s="31"/>
      <c r="C43" s="32" t="s">
        <v>214</v>
      </c>
      <c r="D43" s="33" t="n">
        <v>4</v>
      </c>
      <c r="E43" s="34" t="n">
        <v>3</v>
      </c>
      <c r="F43" s="35" t="s">
        <v>215</v>
      </c>
      <c r="G43" s="36"/>
    </row>
    <row r="44" customFormat="false" ht="13.5" hidden="false" customHeight="true" outlineLevel="0" collapsed="false">
      <c r="A44" s="26"/>
      <c r="B44" s="27" t="s">
        <v>191</v>
      </c>
      <c r="C44" s="28"/>
      <c r="D44" s="29"/>
      <c r="E44" s="29"/>
      <c r="F44" s="28"/>
      <c r="G44" s="29"/>
    </row>
    <row r="45" customFormat="false" ht="15.75" hidden="false" customHeight="true" outlineLevel="0" collapsed="false">
      <c r="A45" s="30" t="s">
        <v>174</v>
      </c>
      <c r="B45" s="31"/>
      <c r="C45" s="32" t="s">
        <v>216</v>
      </c>
      <c r="D45" s="33" t="n">
        <v>4</v>
      </c>
      <c r="E45" s="34" t="n">
        <v>3</v>
      </c>
      <c r="F45" s="35" t="s">
        <v>182</v>
      </c>
      <c r="G45" s="36"/>
    </row>
    <row r="46" customFormat="false" ht="18.75" hidden="false" customHeight="true" outlineLevel="0" collapsed="false">
      <c r="A46" s="25" t="s">
        <v>217</v>
      </c>
      <c r="B46" s="25"/>
      <c r="C46" s="25"/>
      <c r="D46" s="25"/>
      <c r="E46" s="25"/>
      <c r="F46" s="25"/>
      <c r="G46" s="25"/>
    </row>
    <row r="47" customFormat="false" ht="13.5" hidden="false" customHeight="true" outlineLevel="0" collapsed="false">
      <c r="A47" s="26"/>
      <c r="B47" s="27" t="s">
        <v>195</v>
      </c>
      <c r="C47" s="28"/>
      <c r="D47" s="29"/>
      <c r="E47" s="29"/>
      <c r="F47" s="28"/>
      <c r="G47" s="29"/>
    </row>
    <row r="48" customFormat="false" ht="15.75" hidden="false" customHeight="true" outlineLevel="0" collapsed="false">
      <c r="A48" s="30" t="s">
        <v>174</v>
      </c>
      <c r="B48" s="31"/>
      <c r="C48" s="32" t="s">
        <v>218</v>
      </c>
      <c r="D48" s="33" t="n">
        <v>4</v>
      </c>
      <c r="E48" s="34" t="n">
        <v>3</v>
      </c>
      <c r="F48" s="35" t="s">
        <v>197</v>
      </c>
      <c r="G48" s="36"/>
    </row>
    <row r="49" customFormat="false" ht="15.75" hidden="false" customHeight="true" outlineLevel="0" collapsed="false">
      <c r="A49" s="30" t="s">
        <v>174</v>
      </c>
      <c r="B49" s="31"/>
      <c r="C49" s="32" t="s">
        <v>198</v>
      </c>
      <c r="D49" s="37" t="s">
        <v>199</v>
      </c>
      <c r="E49" s="34" t="n">
        <v>2</v>
      </c>
      <c r="F49" s="35" t="s">
        <v>200</v>
      </c>
      <c r="G49" s="36"/>
    </row>
    <row r="50" customFormat="false" ht="15.75" hidden="false" customHeight="true" outlineLevel="0" collapsed="false">
      <c r="A50" s="38" t="s">
        <v>174</v>
      </c>
      <c r="B50" s="39"/>
      <c r="C50" s="40" t="s">
        <v>201</v>
      </c>
      <c r="D50" s="41" t="s">
        <v>199</v>
      </c>
      <c r="E50" s="42" t="s">
        <v>199</v>
      </c>
      <c r="F50" s="43" t="s">
        <v>202</v>
      </c>
      <c r="G50" s="44"/>
    </row>
    <row r="51" customFormat="false" ht="13.5" hidden="false" customHeight="true" outlineLevel="0" collapsed="false">
      <c r="A51" s="26"/>
      <c r="B51" s="27" t="s">
        <v>173</v>
      </c>
      <c r="C51" s="28"/>
      <c r="D51" s="29"/>
      <c r="E51" s="29"/>
      <c r="F51" s="28"/>
      <c r="G51" s="29"/>
    </row>
    <row r="52" customFormat="false" ht="15.75" hidden="false" customHeight="true" outlineLevel="0" collapsed="false">
      <c r="A52" s="30" t="s">
        <v>174</v>
      </c>
      <c r="B52" s="31"/>
      <c r="C52" s="32" t="s">
        <v>211</v>
      </c>
      <c r="D52" s="33" t="n">
        <v>4</v>
      </c>
      <c r="E52" s="34" t="n">
        <v>3</v>
      </c>
      <c r="F52" s="35" t="s">
        <v>176</v>
      </c>
      <c r="G52" s="36"/>
    </row>
    <row r="53" customFormat="false" ht="15.75" hidden="false" customHeight="true" outlineLevel="0" collapsed="false">
      <c r="A53" s="30" t="s">
        <v>174</v>
      </c>
      <c r="B53" s="31"/>
      <c r="C53" s="32" t="s">
        <v>177</v>
      </c>
      <c r="D53" s="33" t="n">
        <v>4</v>
      </c>
      <c r="E53" s="34" t="n">
        <v>3</v>
      </c>
      <c r="F53" s="35" t="s">
        <v>176</v>
      </c>
      <c r="G53" s="36"/>
    </row>
    <row r="54" customFormat="false" ht="15.75" hidden="false" customHeight="true" outlineLevel="0" collapsed="false">
      <c r="A54" s="30" t="s">
        <v>174</v>
      </c>
      <c r="B54" s="31"/>
      <c r="C54" s="32" t="s">
        <v>178</v>
      </c>
      <c r="D54" s="33" t="n">
        <v>4</v>
      </c>
      <c r="E54" s="34" t="n">
        <v>3</v>
      </c>
      <c r="F54" s="35" t="s">
        <v>176</v>
      </c>
      <c r="G54" s="36"/>
    </row>
    <row r="55" customFormat="false" ht="15.75" hidden="false" customHeight="true" outlineLevel="0" collapsed="false">
      <c r="A55" s="30" t="s">
        <v>174</v>
      </c>
      <c r="B55" s="31"/>
      <c r="C55" s="32" t="s">
        <v>219</v>
      </c>
      <c r="D55" s="33" t="n">
        <v>2</v>
      </c>
      <c r="E55" s="34" t="n">
        <v>2</v>
      </c>
      <c r="F55" s="35" t="s">
        <v>220</v>
      </c>
      <c r="G55" s="36"/>
    </row>
    <row r="56" customFormat="false" ht="15.75" hidden="false" customHeight="true" outlineLevel="0" collapsed="false">
      <c r="A56" s="26"/>
      <c r="B56" s="27" t="s">
        <v>180</v>
      </c>
      <c r="C56" s="28"/>
      <c r="D56" s="29"/>
      <c r="E56" s="29"/>
      <c r="F56" s="28"/>
      <c r="G56" s="29"/>
    </row>
    <row r="57" customFormat="false" ht="13.5" hidden="false" customHeight="true" outlineLevel="0" collapsed="false">
      <c r="A57" s="30" t="s">
        <v>174</v>
      </c>
      <c r="B57" s="31"/>
      <c r="C57" s="32" t="s">
        <v>188</v>
      </c>
      <c r="D57" s="33" t="n">
        <v>8</v>
      </c>
      <c r="E57" s="34" t="n">
        <v>6</v>
      </c>
      <c r="F57" s="35" t="s">
        <v>210</v>
      </c>
      <c r="G57" s="36"/>
    </row>
    <row r="58" customFormat="false" ht="15.75" hidden="false" customHeight="true" outlineLevel="0" collapsed="false">
      <c r="A58" s="30" t="s">
        <v>174</v>
      </c>
      <c r="B58" s="31"/>
      <c r="C58" s="32" t="s">
        <v>212</v>
      </c>
      <c r="D58" s="33" t="n">
        <v>4</v>
      </c>
      <c r="E58" s="34" t="n">
        <v>3</v>
      </c>
      <c r="F58" s="35" t="s">
        <v>182</v>
      </c>
      <c r="G58" s="36"/>
    </row>
    <row r="59" customFormat="false" ht="15.75" hidden="false" customHeight="true" outlineLevel="0" collapsed="false"/>
    <row r="60" customFormat="false" ht="15" hidden="false" customHeight="true" outlineLevel="0" collapsed="false"/>
    <row r="61" customFormat="false" ht="18.75" hidden="false" customHeight="true" outlineLevel="0" collapsed="false">
      <c r="A61" s="24" t="s">
        <v>221</v>
      </c>
      <c r="B61" s="24"/>
      <c r="C61" s="24"/>
      <c r="D61" s="24"/>
      <c r="E61" s="24"/>
      <c r="F61" s="24"/>
      <c r="G61" s="24"/>
    </row>
    <row r="62" customFormat="false" ht="15.75" hidden="false" customHeight="true" outlineLevel="0" collapsed="false">
      <c r="A62" s="47"/>
      <c r="B62" s="48"/>
      <c r="C62" s="48"/>
      <c r="D62" s="48"/>
      <c r="E62" s="48"/>
      <c r="F62" s="48"/>
      <c r="G62" s="49"/>
    </row>
    <row r="63" customFormat="false" ht="15.75" hidden="false" customHeight="true" outlineLevel="0" collapsed="false">
      <c r="A63" s="47"/>
      <c r="B63" s="50" t="s">
        <v>222</v>
      </c>
      <c r="C63" s="51" t="s">
        <v>223</v>
      </c>
      <c r="D63" s="52" t="n">
        <v>16</v>
      </c>
      <c r="E63" s="53" t="n">
        <v>12</v>
      </c>
      <c r="F63" s="54"/>
      <c r="G63" s="47"/>
    </row>
    <row r="64" customFormat="false" ht="15" hidden="false" customHeight="true" outlineLevel="0" collapsed="false">
      <c r="A64" s="47"/>
      <c r="B64" s="50" t="s">
        <v>222</v>
      </c>
      <c r="C64" s="51" t="s">
        <v>224</v>
      </c>
      <c r="D64" s="52" t="n">
        <v>12</v>
      </c>
      <c r="E64" s="53" t="n">
        <v>9</v>
      </c>
      <c r="F64" s="54"/>
      <c r="G64" s="47"/>
    </row>
    <row r="65" customFormat="false" ht="18.75" hidden="false" customHeight="true" outlineLevel="0" collapsed="false">
      <c r="A65" s="47"/>
      <c r="B65" s="47"/>
      <c r="C65" s="47"/>
      <c r="D65" s="47"/>
      <c r="E65" s="47"/>
      <c r="F65" s="47"/>
      <c r="G65" s="47"/>
    </row>
    <row r="66" customFormat="false" ht="15" hidden="false" customHeight="true" outlineLevel="0" collapsed="false">
      <c r="A66" s="47"/>
      <c r="B66" s="50" t="s">
        <v>222</v>
      </c>
      <c r="C66" s="51" t="s">
        <v>225</v>
      </c>
      <c r="D66" s="52" t="n">
        <v>16</v>
      </c>
      <c r="E66" s="53" t="n">
        <v>12</v>
      </c>
      <c r="F66" s="54"/>
      <c r="G66" s="47"/>
    </row>
    <row r="67" customFormat="false" ht="15" hidden="false" customHeight="true" outlineLevel="0" collapsed="false">
      <c r="A67" s="47"/>
      <c r="B67" s="50" t="s">
        <v>222</v>
      </c>
      <c r="C67" s="51" t="s">
        <v>211</v>
      </c>
      <c r="D67" s="52" t="n">
        <v>8</v>
      </c>
      <c r="E67" s="53" t="n">
        <v>6</v>
      </c>
      <c r="F67" s="54"/>
      <c r="G67" s="47"/>
    </row>
    <row r="68" customFormat="false" ht="15" hidden="false" customHeight="true" outlineLevel="0" collapsed="false">
      <c r="A68" s="47"/>
      <c r="B68" s="50" t="s">
        <v>222</v>
      </c>
      <c r="C68" s="40" t="s">
        <v>201</v>
      </c>
      <c r="D68" s="41" t="s">
        <v>199</v>
      </c>
      <c r="E68" s="55" t="s">
        <v>199</v>
      </c>
      <c r="F68" s="54"/>
      <c r="G68" s="47"/>
    </row>
    <row r="69" customFormat="false" ht="15" hidden="false" customHeight="true" outlineLevel="0" collapsed="false">
      <c r="A69" s="47"/>
      <c r="B69" s="50" t="s">
        <v>222</v>
      </c>
      <c r="C69" s="51" t="s">
        <v>226</v>
      </c>
      <c r="D69" s="55" t="s">
        <v>199</v>
      </c>
      <c r="E69" s="53" t="n">
        <v>6</v>
      </c>
      <c r="F69" s="54"/>
      <c r="G69" s="47"/>
    </row>
    <row r="70" customFormat="false" ht="15" hidden="false" customHeight="true" outlineLevel="0" collapsed="false"/>
    <row r="71" customFormat="false" ht="15" hidden="false" customHeight="true" outlineLevel="0" collapsed="false">
      <c r="A71" s="21" t="s">
        <v>227</v>
      </c>
      <c r="B71" s="48"/>
      <c r="C71" s="48"/>
      <c r="D71" s="48"/>
      <c r="E71" s="48"/>
      <c r="F71" s="48"/>
      <c r="G71" s="49"/>
    </row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.75" hidden="false" customHeight="true" outlineLevel="0" collapsed="false">
      <c r="A75" s="56"/>
      <c r="B75" s="56"/>
      <c r="C75" s="56"/>
      <c r="D75" s="56"/>
      <c r="E75" s="56"/>
      <c r="F75" s="56"/>
      <c r="G75" s="56"/>
    </row>
  </sheetData>
  <mergeCells count="8">
    <mergeCell ref="A1:G1"/>
    <mergeCell ref="A2:G2"/>
    <mergeCell ref="A5:G5"/>
    <mergeCell ref="A21:G21"/>
    <mergeCell ref="A46:G46"/>
    <mergeCell ref="A61:G61"/>
    <mergeCell ref="A65:G65"/>
    <mergeCell ref="A75:G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  <col collapsed="false" customWidth="true" hidden="false" outlineLevel="0" max="4" min="4" style="1" width="9"/>
    <col collapsed="false" customWidth="true" hidden="false" outlineLevel="0" max="6" min="5" style="1" width="14"/>
    <col collapsed="false" customWidth="true" hidden="false" outlineLevel="0" max="7" min="7" style="1" width="8"/>
    <col collapsed="false" customWidth="true" hidden="false" outlineLevel="0" max="9" min="8" style="1" width="10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30"/>
  </cols>
  <sheetData>
    <row r="1" customFormat="false" ht="25.5" hidden="false" customHeight="true" outlineLevel="0" collapsed="false">
      <c r="A1" s="57" t="s">
        <v>228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13.5" hidden="false" customHeight="true" outlineLevel="0" collapsed="false">
      <c r="A2" s="58" t="s">
        <v>229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customFormat="false" ht="7.5" hidden="false" customHeight="true" outlineLevel="0" collapsed="false"/>
    <row r="4" customFormat="false" ht="21.75" hidden="false" customHeight="true" outlineLevel="0" collapsed="false">
      <c r="A4" s="59" t="s">
        <v>230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customFormat="false" ht="13.5" hidden="false" customHeight="true" outlineLevel="0" collapsed="false">
      <c r="A5" s="60" t="s">
        <v>231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7" customFormat="false" ht="21.75" hidden="false" customHeight="true" outlineLevel="0" collapsed="false">
      <c r="A7" s="4" t="s">
        <v>232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3.5" hidden="false" customHeight="true" outlineLevel="0" collapsed="false">
      <c r="A8" s="61" t="s">
        <v>233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</row>
    <row r="9" customFormat="false" ht="27.75" hidden="false" customHeight="true" outlineLevel="0" collapsed="false">
      <c r="A9" s="5" t="s">
        <v>234</v>
      </c>
      <c r="B9" s="5" t="s">
        <v>235</v>
      </c>
      <c r="C9" s="5" t="s">
        <v>236</v>
      </c>
      <c r="D9" s="5" t="s">
        <v>237</v>
      </c>
      <c r="E9" s="5" t="s">
        <v>238</v>
      </c>
      <c r="F9" s="5" t="s">
        <v>239</v>
      </c>
      <c r="G9" s="5" t="s">
        <v>240</v>
      </c>
      <c r="H9" s="5" t="s">
        <v>241</v>
      </c>
      <c r="I9" s="5" t="s">
        <v>242</v>
      </c>
      <c r="J9" s="5" t="s">
        <v>243</v>
      </c>
      <c r="K9" s="5" t="s">
        <v>244</v>
      </c>
      <c r="L9" s="5" t="s">
        <v>11</v>
      </c>
    </row>
    <row r="10" customFormat="false" ht="18" hidden="false" customHeight="true" outlineLevel="0" collapsed="false">
      <c r="A10" s="62" t="s">
        <v>245</v>
      </c>
      <c r="B10" s="63" t="n">
        <v>4</v>
      </c>
      <c r="C10" s="63" t="n">
        <v>3</v>
      </c>
      <c r="D10" s="63" t="n">
        <v>200</v>
      </c>
      <c r="E10" s="64" t="n">
        <f aca="false">B10*D10</f>
        <v>800</v>
      </c>
      <c r="F10" s="64" t="n">
        <f aca="false">C10*D10</f>
        <v>600</v>
      </c>
      <c r="G10" s="65" t="n">
        <v>1.04</v>
      </c>
      <c r="H10" s="66" t="n">
        <f aca="false">B10*G10</f>
        <v>4.16</v>
      </c>
      <c r="I10" s="66" t="n">
        <f aca="false">C10*G10</f>
        <v>3.12</v>
      </c>
      <c r="J10" s="67" t="n">
        <v>1.4</v>
      </c>
      <c r="K10" s="68" t="n">
        <f aca="false">B10*J10</f>
        <v>5.6</v>
      </c>
      <c r="L10" s="69" t="s">
        <v>246</v>
      </c>
    </row>
    <row r="11" customFormat="false" ht="18" hidden="false" customHeight="true" outlineLevel="0" collapsed="false">
      <c r="A11" s="62" t="s">
        <v>247</v>
      </c>
      <c r="B11" s="63" t="n">
        <v>4</v>
      </c>
      <c r="C11" s="63" t="n">
        <v>3</v>
      </c>
      <c r="D11" s="63" t="n">
        <v>180</v>
      </c>
      <c r="E11" s="64" t="n">
        <f aca="false">B11*D11</f>
        <v>720</v>
      </c>
      <c r="F11" s="64" t="n">
        <f aca="false">C11*D11</f>
        <v>540</v>
      </c>
      <c r="G11" s="65" t="n">
        <v>1.59</v>
      </c>
      <c r="H11" s="66" t="n">
        <f aca="false">B11*G11</f>
        <v>6.36</v>
      </c>
      <c r="I11" s="66" t="n">
        <f aca="false">C11*G11</f>
        <v>4.77</v>
      </c>
      <c r="J11" s="67" t="n">
        <v>1.4</v>
      </c>
      <c r="K11" s="68" t="n">
        <f aca="false">B11*J11</f>
        <v>5.6</v>
      </c>
      <c r="L11" s="69" t="s">
        <v>248</v>
      </c>
    </row>
    <row r="12" customFormat="false" ht="18" hidden="false" customHeight="true" outlineLevel="0" collapsed="false">
      <c r="A12" s="10" t="s">
        <v>249</v>
      </c>
      <c r="B12" s="70" t="n">
        <v>4</v>
      </c>
      <c r="C12" s="70" t="n">
        <v>3</v>
      </c>
      <c r="D12" s="70" t="n">
        <v>140</v>
      </c>
      <c r="E12" s="71" t="n">
        <f aca="false">B12*D12</f>
        <v>560</v>
      </c>
      <c r="F12" s="71" t="n">
        <f aca="false">C12*D12</f>
        <v>420</v>
      </c>
      <c r="G12" s="72" t="n">
        <v>2.19</v>
      </c>
      <c r="H12" s="73" t="n">
        <f aca="false">B12*G12</f>
        <v>8.76</v>
      </c>
      <c r="I12" s="73" t="n">
        <f aca="false">C12*G12</f>
        <v>6.57</v>
      </c>
      <c r="J12" s="74" t="n">
        <v>1.48</v>
      </c>
      <c r="K12" s="75" t="n">
        <f aca="false">B12*J12</f>
        <v>5.92</v>
      </c>
      <c r="L12" s="76" t="s">
        <v>250</v>
      </c>
    </row>
    <row r="13" customFormat="false" ht="18" hidden="false" customHeight="true" outlineLevel="0" collapsed="false">
      <c r="A13" s="11" t="s">
        <v>178</v>
      </c>
      <c r="B13" s="77" t="n">
        <v>4</v>
      </c>
      <c r="C13" s="77" t="n">
        <v>3</v>
      </c>
      <c r="D13" s="77" t="n">
        <v>130</v>
      </c>
      <c r="E13" s="78" t="n">
        <f aca="false">B13*D13</f>
        <v>520</v>
      </c>
      <c r="F13" s="78" t="n">
        <f aca="false">C13*D13</f>
        <v>390</v>
      </c>
      <c r="G13" s="79" t="n">
        <v>0.38</v>
      </c>
      <c r="H13" s="80" t="n">
        <f aca="false">B13*G13</f>
        <v>1.52</v>
      </c>
      <c r="I13" s="80" t="n">
        <f aca="false">C13*G13</f>
        <v>1.14</v>
      </c>
      <c r="J13" s="81" t="n">
        <v>1.23</v>
      </c>
      <c r="K13" s="82" t="n">
        <f aca="false">B13*J13</f>
        <v>4.92</v>
      </c>
      <c r="L13" s="83" t="s">
        <v>251</v>
      </c>
    </row>
    <row r="14" customFormat="false" ht="15.75" hidden="false" customHeight="true" outlineLevel="0" collapsed="false">
      <c r="A14" s="84" t="s">
        <v>252</v>
      </c>
      <c r="B14" s="84"/>
      <c r="C14" s="84"/>
      <c r="D14" s="85" t="n">
        <v>90</v>
      </c>
      <c r="E14" s="86" t="n">
        <f aca="false">SUM(E10:E13)</f>
        <v>2600</v>
      </c>
      <c r="F14" s="86" t="n">
        <f aca="false">SUM(F10:F13)</f>
        <v>1950</v>
      </c>
      <c r="G14" s="65" t="n">
        <v>0.55</v>
      </c>
    </row>
    <row r="15" customFormat="false" ht="15" hidden="false" customHeight="true" outlineLevel="0" collapsed="false">
      <c r="A15" s="87" t="s">
        <v>253</v>
      </c>
      <c r="B15" s="88"/>
      <c r="C15" s="88"/>
      <c r="D15" s="89"/>
      <c r="E15" s="90" t="n">
        <f aca="false">SUM(E10:E14)</f>
        <v>5200</v>
      </c>
      <c r="F15" s="91" t="n">
        <f aca="false">SUM(F10:F14)</f>
        <v>3900</v>
      </c>
      <c r="G15" s="89"/>
      <c r="H15" s="92" t="n">
        <f aca="false">SUM(H10:H13)</f>
        <v>20.8</v>
      </c>
      <c r="I15" s="93" t="n">
        <f aca="false">SUM(I10:I13)</f>
        <v>15.6</v>
      </c>
      <c r="J15" s="89"/>
      <c r="K15" s="89"/>
      <c r="L15" s="89"/>
    </row>
    <row r="16" customFormat="false" ht="21.75" hidden="false" customHeight="true" outlineLevel="0" collapsed="false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customFormat="false" ht="13.5" hidden="false" customHeight="true" outlineLevel="0" collapsed="false">
      <c r="A17" s="4" t="s">
        <v>254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27.75" hidden="false" customHeight="true" outlineLevel="0" collapsed="false">
      <c r="A18" s="94" t="s">
        <v>255</v>
      </c>
    </row>
    <row r="19" customFormat="false" ht="18" hidden="false" customHeight="true" outlineLevel="0" collapsed="false">
      <c r="A19" s="5" t="s">
        <v>234</v>
      </c>
      <c r="B19" s="5" t="s">
        <v>235</v>
      </c>
      <c r="C19" s="5" t="s">
        <v>236</v>
      </c>
      <c r="D19" s="5" t="s">
        <v>237</v>
      </c>
      <c r="E19" s="5" t="s">
        <v>238</v>
      </c>
      <c r="F19" s="5" t="s">
        <v>239</v>
      </c>
      <c r="G19" s="5" t="s">
        <v>240</v>
      </c>
      <c r="H19" s="5" t="s">
        <v>241</v>
      </c>
      <c r="I19" s="5" t="s">
        <v>242</v>
      </c>
      <c r="J19" s="5" t="s">
        <v>243</v>
      </c>
      <c r="K19" s="5" t="s">
        <v>244</v>
      </c>
      <c r="L19" s="5" t="s">
        <v>11</v>
      </c>
    </row>
    <row r="20" customFormat="false" ht="18" hidden="false" customHeight="true" outlineLevel="0" collapsed="false">
      <c r="A20" s="10" t="s">
        <v>256</v>
      </c>
      <c r="B20" s="70" t="n">
        <v>4</v>
      </c>
      <c r="C20" s="70" t="n">
        <v>3</v>
      </c>
      <c r="D20" s="70" t="n">
        <v>220</v>
      </c>
      <c r="E20" s="71" t="n">
        <f aca="false">B20*D20</f>
        <v>880</v>
      </c>
      <c r="F20" s="71" t="n">
        <f aca="false">C20*D20</f>
        <v>660</v>
      </c>
      <c r="G20" s="72" t="n">
        <v>2.99</v>
      </c>
      <c r="H20" s="73" t="n">
        <f aca="false">B20*G20</f>
        <v>11.96</v>
      </c>
      <c r="I20" s="73" t="n">
        <f aca="false">C20*G20</f>
        <v>8.97</v>
      </c>
      <c r="J20" s="74" t="n">
        <v>2</v>
      </c>
      <c r="K20" s="75" t="n">
        <f aca="false">B20*J20</f>
        <v>8</v>
      </c>
      <c r="L20" s="76" t="s">
        <v>257</v>
      </c>
    </row>
    <row r="21" customFormat="false" ht="18" hidden="false" customHeight="true" outlineLevel="0" collapsed="false">
      <c r="A21" s="11" t="s">
        <v>258</v>
      </c>
      <c r="B21" s="77" t="n">
        <v>4</v>
      </c>
      <c r="C21" s="77" t="n">
        <v>3</v>
      </c>
      <c r="D21" s="77" t="n">
        <v>100</v>
      </c>
      <c r="E21" s="78" t="n">
        <f aca="false">B21*D21</f>
        <v>400</v>
      </c>
      <c r="F21" s="78" t="n">
        <f aca="false">C21*D21</f>
        <v>300</v>
      </c>
      <c r="G21" s="79" t="n">
        <v>0.5</v>
      </c>
      <c r="H21" s="80" t="n">
        <f aca="false">B21*G21</f>
        <v>2</v>
      </c>
      <c r="I21" s="80" t="n">
        <f aca="false">C21*G21</f>
        <v>1.5</v>
      </c>
      <c r="J21" s="81" t="n">
        <v>1</v>
      </c>
      <c r="K21" s="82" t="n">
        <f aca="false">B21*J21</f>
        <v>4</v>
      </c>
      <c r="L21" s="83" t="s">
        <v>259</v>
      </c>
    </row>
    <row r="22" customFormat="false" ht="18" hidden="false" customHeight="true" outlineLevel="0" collapsed="false">
      <c r="A22" s="10" t="s">
        <v>184</v>
      </c>
      <c r="B22" s="10"/>
      <c r="C22" s="10"/>
      <c r="D22" s="70" t="n">
        <v>90</v>
      </c>
      <c r="E22" s="71" t="n">
        <f aca="false">B22*D22</f>
        <v>0</v>
      </c>
      <c r="F22" s="71" t="n">
        <f aca="false">C22*D22</f>
        <v>0</v>
      </c>
      <c r="G22" s="72" t="n">
        <v>0.75</v>
      </c>
      <c r="H22" s="73" t="n">
        <f aca="false">B22*G22</f>
        <v>0</v>
      </c>
      <c r="I22" s="73" t="n">
        <f aca="false">C22*G22</f>
        <v>0</v>
      </c>
      <c r="J22" s="74" t="n">
        <v>0.7</v>
      </c>
      <c r="K22" s="75" t="n">
        <f aca="false">B22*J22</f>
        <v>0</v>
      </c>
      <c r="L22" s="76" t="s">
        <v>260</v>
      </c>
    </row>
    <row r="23" customFormat="false" ht="15" hidden="false" customHeight="true" outlineLevel="0" collapsed="false">
      <c r="A23" s="87" t="s">
        <v>253</v>
      </c>
      <c r="B23" s="88"/>
      <c r="C23" s="88"/>
      <c r="D23" s="89"/>
      <c r="E23" s="90" t="n">
        <f aca="false">SUM(E20:E22)</f>
        <v>1280</v>
      </c>
      <c r="F23" s="91" t="n">
        <f aca="false">SUM(F20:F22)</f>
        <v>960</v>
      </c>
      <c r="G23" s="89"/>
      <c r="H23" s="92" t="n">
        <f aca="false">SUM(H19:H21)</f>
        <v>13.96</v>
      </c>
      <c r="I23" s="93" t="n">
        <f aca="false">SUM(I19:I21)</f>
        <v>10.47</v>
      </c>
      <c r="J23" s="89"/>
      <c r="K23" s="89"/>
      <c r="L23" s="89"/>
    </row>
    <row r="24" customFormat="false" ht="21.75" hidden="false" customHeight="true" outlineLevel="0" collapsed="false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customFormat="false" ht="13.5" hidden="false" customHeight="true" outlineLevel="0" collapsed="false">
      <c r="A25" s="4" t="s">
        <v>261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27.75" hidden="false" customHeight="true" outlineLevel="0" collapsed="false">
      <c r="A26" s="94" t="s">
        <v>262</v>
      </c>
    </row>
    <row r="27" customFormat="false" ht="18" hidden="false" customHeight="true" outlineLevel="0" collapsed="false">
      <c r="A27" s="5" t="s">
        <v>234</v>
      </c>
      <c r="B27" s="5" t="s">
        <v>235</v>
      </c>
      <c r="C27" s="5" t="s">
        <v>236</v>
      </c>
      <c r="D27" s="5" t="s">
        <v>237</v>
      </c>
      <c r="E27" s="5" t="s">
        <v>238</v>
      </c>
      <c r="F27" s="5" t="s">
        <v>239</v>
      </c>
      <c r="G27" s="5" t="s">
        <v>240</v>
      </c>
      <c r="H27" s="5" t="s">
        <v>241</v>
      </c>
      <c r="I27" s="5" t="s">
        <v>242</v>
      </c>
      <c r="J27" s="5" t="s">
        <v>243</v>
      </c>
      <c r="K27" s="5" t="s">
        <v>244</v>
      </c>
      <c r="L27" s="5" t="s">
        <v>11</v>
      </c>
    </row>
    <row r="28" customFormat="false" ht="18" hidden="false" customHeight="true" outlineLevel="0" collapsed="false">
      <c r="A28" s="10" t="s">
        <v>186</v>
      </c>
      <c r="B28" s="70" t="n">
        <v>3</v>
      </c>
      <c r="C28" s="70" t="n">
        <v>2</v>
      </c>
      <c r="D28" s="70" t="n">
        <v>520</v>
      </c>
      <c r="E28" s="71" t="n">
        <f aca="false">B28*D28</f>
        <v>1560</v>
      </c>
      <c r="F28" s="71" t="n">
        <f aca="false">C28*D28</f>
        <v>1040</v>
      </c>
      <c r="G28" s="72" t="n">
        <v>7.49</v>
      </c>
      <c r="H28" s="73" t="n">
        <f aca="false">B28*G28</f>
        <v>22.47</v>
      </c>
      <c r="I28" s="73" t="n">
        <f aca="false">C28*G28</f>
        <v>14.98</v>
      </c>
      <c r="J28" s="74" t="n">
        <v>3.2</v>
      </c>
      <c r="K28" s="75" t="n">
        <f aca="false">B28*J28</f>
        <v>9.6</v>
      </c>
      <c r="L28" s="76" t="s">
        <v>263</v>
      </c>
    </row>
    <row r="29" customFormat="false" ht="18" hidden="false" customHeight="true" outlineLevel="0" collapsed="false">
      <c r="A29" s="11" t="s">
        <v>264</v>
      </c>
      <c r="B29" s="77" t="n">
        <v>8</v>
      </c>
      <c r="C29" s="77" t="n">
        <v>6</v>
      </c>
      <c r="D29" s="77" t="n">
        <v>75</v>
      </c>
      <c r="E29" s="78" t="n">
        <f aca="false">B29*D29</f>
        <v>600</v>
      </c>
      <c r="F29" s="78" t="n">
        <f aca="false">C29*D29</f>
        <v>450</v>
      </c>
      <c r="G29" s="79" t="n">
        <v>0.25</v>
      </c>
      <c r="H29" s="80" t="n">
        <f aca="false">B29*G29</f>
        <v>2</v>
      </c>
      <c r="I29" s="80" t="n">
        <f aca="false">C29*G29</f>
        <v>1.5</v>
      </c>
      <c r="J29" s="81" t="n">
        <v>0.5</v>
      </c>
      <c r="K29" s="82" t="n">
        <f aca="false">B29*J29</f>
        <v>4</v>
      </c>
      <c r="L29" s="83" t="s">
        <v>265</v>
      </c>
    </row>
    <row r="30" customFormat="false" ht="18" hidden="false" customHeight="true" outlineLevel="0" collapsed="false">
      <c r="A30" s="10" t="s">
        <v>184</v>
      </c>
      <c r="B30" s="70" t="n">
        <v>8</v>
      </c>
      <c r="C30" s="70" t="n">
        <v>6</v>
      </c>
      <c r="D30" s="70" t="n">
        <v>90</v>
      </c>
      <c r="E30" s="71" t="n">
        <f aca="false">B30*D30</f>
        <v>720</v>
      </c>
      <c r="F30" s="71" t="n">
        <f aca="false">C30*D30</f>
        <v>540</v>
      </c>
      <c r="G30" s="72" t="n">
        <v>0.75</v>
      </c>
      <c r="H30" s="73" t="n">
        <f aca="false">B30*G30</f>
        <v>6</v>
      </c>
      <c r="I30" s="73" t="n">
        <f aca="false">C30*G30</f>
        <v>4.5</v>
      </c>
      <c r="J30" s="74" t="n">
        <v>0.7</v>
      </c>
      <c r="K30" s="75" t="n">
        <f aca="false">B30*J30</f>
        <v>5.6</v>
      </c>
      <c r="L30" s="76" t="s">
        <v>265</v>
      </c>
    </row>
    <row r="31" customFormat="false" ht="18" hidden="false" customHeight="true" outlineLevel="0" collapsed="false">
      <c r="A31" s="11" t="s">
        <v>198</v>
      </c>
      <c r="B31" s="77" t="n">
        <v>0</v>
      </c>
      <c r="C31" s="77" t="n">
        <v>6</v>
      </c>
      <c r="D31" s="77" t="n">
        <v>90</v>
      </c>
      <c r="E31" s="78" t="n">
        <f aca="false">B31*D31</f>
        <v>0</v>
      </c>
      <c r="F31" s="78" t="n">
        <f aca="false">C31*D31</f>
        <v>540</v>
      </c>
      <c r="G31" s="79" t="n">
        <v>0.38</v>
      </c>
      <c r="H31" s="80" t="n">
        <f aca="false">B31*G31</f>
        <v>0</v>
      </c>
      <c r="I31" s="80" t="n">
        <f aca="false">C31*G31</f>
        <v>2.28</v>
      </c>
      <c r="J31" s="81" t="n">
        <v>0.73</v>
      </c>
      <c r="K31" s="82" t="n">
        <f aca="false">B31*J31</f>
        <v>0</v>
      </c>
      <c r="L31" s="83" t="s">
        <v>266</v>
      </c>
    </row>
    <row r="32" customFormat="false" ht="18" hidden="false" customHeight="true" outlineLevel="0" collapsed="false">
      <c r="A32" s="40" t="s">
        <v>267</v>
      </c>
      <c r="B32" s="95"/>
      <c r="C32" s="95"/>
      <c r="D32" s="96"/>
      <c r="E32" s="97"/>
      <c r="F32" s="97"/>
      <c r="G32" s="98"/>
      <c r="H32" s="99"/>
      <c r="I32" s="99"/>
      <c r="J32" s="100"/>
      <c r="K32" s="101"/>
      <c r="L32" s="76" t="s">
        <v>268</v>
      </c>
    </row>
    <row r="33" customFormat="false" ht="15" hidden="false" customHeight="true" outlineLevel="0" collapsed="false">
      <c r="A33" s="87" t="s">
        <v>253</v>
      </c>
      <c r="B33" s="88"/>
      <c r="C33" s="88"/>
      <c r="D33" s="89"/>
      <c r="E33" s="90" t="n">
        <f aca="false">SUM(E28:E32)</f>
        <v>2880</v>
      </c>
      <c r="F33" s="91" t="n">
        <f aca="false">SUM(F28:F32)</f>
        <v>2570</v>
      </c>
      <c r="G33" s="89"/>
      <c r="H33" s="92" t="n">
        <f aca="false">SUM(H27:H31)</f>
        <v>30.47</v>
      </c>
      <c r="I33" s="93" t="n">
        <f aca="false">SUM(I27:I31)</f>
        <v>23.26</v>
      </c>
      <c r="J33" s="89"/>
      <c r="K33" s="89"/>
      <c r="L33" s="89"/>
    </row>
    <row r="34" customFormat="false" ht="21.75" hidden="false" customHeight="true" outlineLevel="0" collapsed="false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</row>
    <row r="35" customFormat="false" ht="13.5" hidden="false" customHeight="true" outlineLevel="0" collapsed="false">
      <c r="A35" s="102" t="s">
        <v>269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</row>
    <row r="36" customFormat="false" ht="27.75" hidden="false" customHeight="true" outlineLevel="0" collapsed="false">
      <c r="A36" s="94" t="s">
        <v>270</v>
      </c>
    </row>
    <row r="37" customFormat="false" ht="18" hidden="false" customHeight="true" outlineLevel="0" collapsed="false">
      <c r="A37" s="5" t="s">
        <v>234</v>
      </c>
      <c r="B37" s="5" t="s">
        <v>235</v>
      </c>
      <c r="C37" s="5" t="s">
        <v>236</v>
      </c>
      <c r="D37" s="5" t="s">
        <v>237</v>
      </c>
      <c r="E37" s="5" t="s">
        <v>238</v>
      </c>
      <c r="F37" s="5" t="s">
        <v>239</v>
      </c>
      <c r="G37" s="5" t="s">
        <v>240</v>
      </c>
      <c r="H37" s="5" t="s">
        <v>241</v>
      </c>
      <c r="I37" s="5" t="s">
        <v>242</v>
      </c>
      <c r="J37" s="5" t="s">
        <v>243</v>
      </c>
      <c r="K37" s="5" t="s">
        <v>244</v>
      </c>
      <c r="L37" s="5" t="s">
        <v>11</v>
      </c>
    </row>
    <row r="38" customFormat="false" ht="18" hidden="false" customHeight="true" outlineLevel="0" collapsed="false">
      <c r="A38" s="103" t="s">
        <v>271</v>
      </c>
      <c r="B38" s="103"/>
      <c r="C38" s="103"/>
      <c r="D38" s="104" t="n">
        <v>310</v>
      </c>
      <c r="E38" s="105" t="n">
        <f aca="false">B38*D38</f>
        <v>0</v>
      </c>
      <c r="F38" s="105" t="n">
        <f aca="false">C38*D38</f>
        <v>0</v>
      </c>
      <c r="G38" s="106" t="n">
        <v>8.99</v>
      </c>
      <c r="H38" s="107" t="n">
        <f aca="false">B38*G38</f>
        <v>0</v>
      </c>
      <c r="I38" s="107" t="n">
        <f aca="false">C38*G38</f>
        <v>0</v>
      </c>
      <c r="J38" s="108" t="n">
        <v>2.26</v>
      </c>
      <c r="K38" s="109" t="n">
        <f aca="false">B38*J38</f>
        <v>0</v>
      </c>
      <c r="L38" s="110" t="s">
        <v>272</v>
      </c>
    </row>
    <row r="39" customFormat="false" ht="15" hidden="false" customHeight="true" outlineLevel="0" collapsed="false">
      <c r="A39" s="87" t="s">
        <v>253</v>
      </c>
      <c r="B39" s="88"/>
      <c r="C39" s="88"/>
      <c r="D39" s="89"/>
      <c r="E39" s="90" t="n">
        <f aca="false">SUM(E38:E38)</f>
        <v>0</v>
      </c>
      <c r="F39" s="91" t="n">
        <f aca="false">SUM(F38:F38)</f>
        <v>0</v>
      </c>
      <c r="G39" s="89"/>
      <c r="H39" s="92" t="n">
        <f aca="false">SUM(H37:H37)</f>
        <v>0</v>
      </c>
      <c r="I39" s="93" t="n">
        <f aca="false">SUM(I37:I37)</f>
        <v>0</v>
      </c>
      <c r="J39" s="89"/>
      <c r="K39" s="89"/>
      <c r="L39" s="89"/>
    </row>
    <row r="40" customFormat="false" ht="21.75" hidden="false" customHeight="true" outlineLevel="0" collapsed="false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</row>
    <row r="41" customFormat="false" ht="13.5" hidden="false" customHeight="true" outlineLevel="0" collapsed="false">
      <c r="A41" s="4" t="s">
        <v>273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27.75" hidden="false" customHeight="true" outlineLevel="0" collapsed="false">
      <c r="A42" s="94" t="s">
        <v>274</v>
      </c>
    </row>
    <row r="43" customFormat="false" ht="18" hidden="false" customHeight="true" outlineLevel="0" collapsed="false">
      <c r="A43" s="5" t="s">
        <v>234</v>
      </c>
      <c r="B43" s="5" t="s">
        <v>235</v>
      </c>
      <c r="C43" s="5" t="s">
        <v>236</v>
      </c>
      <c r="D43" s="5" t="s">
        <v>237</v>
      </c>
      <c r="E43" s="5" t="s">
        <v>238</v>
      </c>
      <c r="F43" s="5" t="s">
        <v>239</v>
      </c>
      <c r="G43" s="5" t="s">
        <v>240</v>
      </c>
      <c r="H43" s="5" t="s">
        <v>241</v>
      </c>
      <c r="I43" s="5" t="s">
        <v>242</v>
      </c>
      <c r="J43" s="5" t="s">
        <v>243</v>
      </c>
      <c r="K43" s="5" t="s">
        <v>244</v>
      </c>
      <c r="L43" s="5" t="s">
        <v>11</v>
      </c>
    </row>
    <row r="44" customFormat="false" ht="18" hidden="false" customHeight="true" outlineLevel="0" collapsed="false">
      <c r="A44" s="62" t="s">
        <v>196</v>
      </c>
      <c r="B44" s="63" t="n">
        <v>4</v>
      </c>
      <c r="C44" s="63" t="n">
        <v>3</v>
      </c>
      <c r="D44" s="63" t="n">
        <v>420</v>
      </c>
      <c r="E44" s="64" t="n">
        <f aca="false">B44*D44</f>
        <v>1680</v>
      </c>
      <c r="F44" s="64" t="n">
        <f aca="false">C44*D44</f>
        <v>1260</v>
      </c>
      <c r="G44" s="65" t="n">
        <v>2.19</v>
      </c>
      <c r="H44" s="66" t="n">
        <f aca="false">B44*G44</f>
        <v>8.76</v>
      </c>
      <c r="I44" s="66" t="n">
        <f aca="false">C44*G44</f>
        <v>6.57</v>
      </c>
      <c r="J44" s="67" t="n">
        <v>3.53</v>
      </c>
      <c r="K44" s="68" t="n">
        <f aca="false">B44*J44</f>
        <v>14.12</v>
      </c>
      <c r="L44" s="69" t="s">
        <v>275</v>
      </c>
    </row>
    <row r="45" customFormat="false" ht="18" hidden="false" customHeight="true" outlineLevel="0" collapsed="false">
      <c r="A45" s="11" t="s">
        <v>198</v>
      </c>
      <c r="B45" s="77" t="n">
        <v>0</v>
      </c>
      <c r="C45" s="77" t="n">
        <v>6</v>
      </c>
      <c r="D45" s="77" t="n">
        <v>90</v>
      </c>
      <c r="E45" s="78" t="n">
        <f aca="false">B45*D45</f>
        <v>0</v>
      </c>
      <c r="F45" s="78" t="n">
        <f aca="false">C45*D45</f>
        <v>540</v>
      </c>
      <c r="G45" s="79" t="n">
        <v>0.38</v>
      </c>
      <c r="H45" s="80" t="n">
        <f aca="false">B45*G45</f>
        <v>0</v>
      </c>
      <c r="I45" s="80" t="n">
        <f aca="false">C45*G45</f>
        <v>2.28</v>
      </c>
      <c r="J45" s="81" t="n">
        <v>0.73</v>
      </c>
      <c r="K45" s="82" t="n">
        <f aca="false">B45*J45</f>
        <v>0</v>
      </c>
      <c r="L45" s="83" t="s">
        <v>276</v>
      </c>
    </row>
    <row r="46" customFormat="false" ht="18" hidden="false" customHeight="true" outlineLevel="0" collapsed="false">
      <c r="A46" s="40" t="s">
        <v>267</v>
      </c>
      <c r="B46" s="95"/>
      <c r="C46" s="95"/>
      <c r="D46" s="96"/>
      <c r="E46" s="97"/>
      <c r="F46" s="97"/>
      <c r="G46" s="98"/>
      <c r="H46" s="99"/>
      <c r="I46" s="99"/>
      <c r="J46" s="100"/>
      <c r="K46" s="101"/>
      <c r="L46" s="76" t="s">
        <v>277</v>
      </c>
    </row>
    <row r="47" customFormat="false" ht="15" hidden="false" customHeight="true" outlineLevel="0" collapsed="false">
      <c r="A47" s="87" t="s">
        <v>253</v>
      </c>
      <c r="B47" s="88"/>
      <c r="C47" s="88"/>
      <c r="D47" s="89"/>
      <c r="E47" s="90" t="n">
        <f aca="false">SUM(E44:E46)</f>
        <v>1680</v>
      </c>
      <c r="F47" s="91" t="n">
        <f aca="false">SUM(F44:F46)</f>
        <v>1800</v>
      </c>
      <c r="G47" s="89"/>
      <c r="H47" s="92" t="n">
        <f aca="false">SUM(H43:H45)</f>
        <v>8.76</v>
      </c>
      <c r="I47" s="93" t="n">
        <f aca="false">SUM(I43:I45)</f>
        <v>8.85</v>
      </c>
      <c r="J47" s="89"/>
      <c r="K47" s="89"/>
      <c r="L47" s="89"/>
    </row>
    <row r="48" customFormat="false" ht="21.75" hidden="false" customHeight="true" outlineLevel="0" collapsed="false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customFormat="false" ht="13.5" hidden="false" customHeight="true" outlineLevel="0" collapsed="false">
      <c r="A49" s="111" t="s">
        <v>278</v>
      </c>
    </row>
    <row r="50" customFormat="false" ht="27.75" hidden="false" customHeight="true" outlineLevel="0" collapsed="false">
      <c r="A50" s="94" t="s">
        <v>279</v>
      </c>
    </row>
    <row r="51" customFormat="false" ht="18" hidden="false" customHeight="true" outlineLevel="0" collapsed="false">
      <c r="A51" s="5" t="s">
        <v>234</v>
      </c>
      <c r="B51" s="5" t="s">
        <v>235</v>
      </c>
      <c r="C51" s="5" t="s">
        <v>236</v>
      </c>
      <c r="D51" s="5" t="s">
        <v>237</v>
      </c>
      <c r="E51" s="5" t="s">
        <v>238</v>
      </c>
      <c r="F51" s="5" t="s">
        <v>239</v>
      </c>
      <c r="G51" s="5" t="s">
        <v>240</v>
      </c>
      <c r="H51" s="5" t="s">
        <v>241</v>
      </c>
      <c r="I51" s="5" t="s">
        <v>242</v>
      </c>
      <c r="J51" s="5" t="s">
        <v>243</v>
      </c>
      <c r="K51" s="5" t="s">
        <v>244</v>
      </c>
      <c r="L51" s="5" t="s">
        <v>11</v>
      </c>
    </row>
    <row r="52" customFormat="false" ht="15.75" hidden="false" customHeight="true" outlineLevel="0" collapsed="false">
      <c r="A52" s="112" t="s">
        <v>249</v>
      </c>
      <c r="B52" s="77" t="n">
        <v>4</v>
      </c>
      <c r="C52" s="77" t="n">
        <v>3</v>
      </c>
      <c r="D52" s="113" t="n">
        <v>140</v>
      </c>
      <c r="E52" s="114" t="n">
        <f aca="false">B52*D52</f>
        <v>560</v>
      </c>
      <c r="F52" s="114" t="n">
        <f aca="false">C52*D52</f>
        <v>420</v>
      </c>
      <c r="G52" s="79" t="n">
        <v>2.19</v>
      </c>
      <c r="H52" s="80" t="n">
        <f aca="false">B52*G52</f>
        <v>8.76</v>
      </c>
      <c r="I52" s="80" t="n">
        <f aca="false">C52*G52</f>
        <v>6.57</v>
      </c>
      <c r="J52" s="81" t="n">
        <v>1.48</v>
      </c>
      <c r="K52" s="82" t="n">
        <f aca="false">B52*J52</f>
        <v>5.92</v>
      </c>
      <c r="L52" s="83" t="s">
        <v>280</v>
      </c>
    </row>
    <row r="53" customFormat="false" ht="15.75" hidden="false" customHeight="true" outlineLevel="0" collapsed="false">
      <c r="A53" s="112" t="s">
        <v>281</v>
      </c>
      <c r="B53" s="77" t="n">
        <v>4</v>
      </c>
      <c r="C53" s="77" t="n">
        <v>3</v>
      </c>
      <c r="D53" s="113" t="n">
        <v>200</v>
      </c>
      <c r="E53" s="114" t="n">
        <f aca="false">B53*D53</f>
        <v>800</v>
      </c>
      <c r="F53" s="114" t="n">
        <f aca="false">C53*D53</f>
        <v>600</v>
      </c>
      <c r="G53" s="79" t="n">
        <v>1.04</v>
      </c>
      <c r="H53" s="73" t="n">
        <f aca="false">B53*G53</f>
        <v>4.16</v>
      </c>
      <c r="I53" s="73" t="n">
        <f aca="false">C53*G53</f>
        <v>3.12</v>
      </c>
      <c r="J53" s="74" t="n">
        <v>1.4</v>
      </c>
      <c r="K53" s="75" t="n">
        <f aca="false">B53*J53</f>
        <v>5.6</v>
      </c>
      <c r="L53" s="76" t="s">
        <v>282</v>
      </c>
    </row>
    <row r="54" customFormat="false" ht="15.75" hidden="false" customHeight="true" outlineLevel="0" collapsed="false">
      <c r="A54" s="112" t="s">
        <v>178</v>
      </c>
      <c r="B54" s="77" t="n">
        <v>8</v>
      </c>
      <c r="C54" s="77" t="n">
        <v>6</v>
      </c>
      <c r="D54" s="113" t="n">
        <v>130</v>
      </c>
      <c r="E54" s="114" t="n">
        <f aca="false">B54*D54</f>
        <v>1040</v>
      </c>
      <c r="F54" s="114" t="n">
        <f aca="false">C54*D54</f>
        <v>780</v>
      </c>
      <c r="G54" s="79" t="n">
        <v>0.38</v>
      </c>
      <c r="H54" s="80" t="n">
        <f aca="false">B54*G54</f>
        <v>3.04</v>
      </c>
      <c r="I54" s="80" t="n">
        <f aca="false">C54*G54</f>
        <v>2.28</v>
      </c>
      <c r="J54" s="81" t="n">
        <v>1.23</v>
      </c>
      <c r="K54" s="82" t="n">
        <f aca="false">B54*J54</f>
        <v>9.84</v>
      </c>
      <c r="L54" s="83" t="s">
        <v>283</v>
      </c>
    </row>
    <row r="55" customFormat="false" ht="15.75" hidden="false" customHeight="true" outlineLevel="0" collapsed="false">
      <c r="A55" s="115" t="s">
        <v>284</v>
      </c>
      <c r="B55" s="77" t="n">
        <v>4</v>
      </c>
      <c r="C55" s="77" t="n">
        <v>3</v>
      </c>
      <c r="D55" s="113" t="n">
        <v>150</v>
      </c>
      <c r="E55" s="114" t="n">
        <f aca="false">B55*D55</f>
        <v>600</v>
      </c>
      <c r="F55" s="114" t="n">
        <f aca="false">C55*D55</f>
        <v>450</v>
      </c>
      <c r="G55" s="79" t="n">
        <v>0.45</v>
      </c>
    </row>
    <row r="56" customFormat="false" ht="15.75" hidden="false" customHeight="true" outlineLevel="0" collapsed="false">
      <c r="A56" s="116" t="s">
        <v>253</v>
      </c>
      <c r="E56" s="1" t="n">
        <f aca="false">SUM(E52:E55)</f>
        <v>3000</v>
      </c>
      <c r="F56" s="1" t="n">
        <f aca="false">SUM(F52:F55)</f>
        <v>2250</v>
      </c>
    </row>
    <row r="57" customFormat="false" ht="21.75" hidden="false" customHeight="true" outlineLevel="0" collapsed="false"/>
    <row r="58" customFormat="false" ht="13.5" hidden="false" customHeight="true" outlineLevel="0" collapsed="false">
      <c r="A58" s="117" t="s">
        <v>285</v>
      </c>
    </row>
    <row r="59" customFormat="false" ht="27.75" hidden="false" customHeight="true" outlineLevel="0" collapsed="false">
      <c r="A59" s="94" t="s">
        <v>286</v>
      </c>
    </row>
    <row r="60" customFormat="false" ht="18" hidden="false" customHeight="true" outlineLevel="0" collapsed="false">
      <c r="A60" s="5" t="s">
        <v>234</v>
      </c>
      <c r="B60" s="5" t="s">
        <v>235</v>
      </c>
      <c r="C60" s="5" t="s">
        <v>236</v>
      </c>
      <c r="D60" s="5" t="s">
        <v>237</v>
      </c>
      <c r="E60" s="5" t="s">
        <v>238</v>
      </c>
      <c r="F60" s="5" t="s">
        <v>239</v>
      </c>
      <c r="G60" s="5" t="s">
        <v>240</v>
      </c>
      <c r="H60" s="5" t="s">
        <v>241</v>
      </c>
      <c r="I60" s="5" t="s">
        <v>242</v>
      </c>
      <c r="J60" s="5" t="s">
        <v>243</v>
      </c>
      <c r="K60" s="5" t="s">
        <v>244</v>
      </c>
      <c r="L60" s="5" t="s">
        <v>11</v>
      </c>
    </row>
    <row r="61" customFormat="false" ht="18" hidden="false" customHeight="true" outlineLevel="0" collapsed="false">
      <c r="A61" s="118" t="s">
        <v>287</v>
      </c>
      <c r="D61" s="119" t="n">
        <v>280</v>
      </c>
      <c r="E61" s="120" t="n">
        <f aca="false">B61*D61</f>
        <v>0</v>
      </c>
      <c r="F61" s="120" t="n">
        <f aca="false">C61*D61</f>
        <v>0</v>
      </c>
      <c r="G61" s="121" t="n">
        <v>2.17</v>
      </c>
      <c r="H61" s="122" t="n">
        <f aca="false">B61*G61</f>
        <v>0</v>
      </c>
      <c r="I61" s="122" t="n">
        <f aca="false">C61*G61</f>
        <v>0</v>
      </c>
      <c r="J61" s="123" t="n">
        <v>2.4</v>
      </c>
      <c r="K61" s="124" t="n">
        <f aca="false">B61*J61</f>
        <v>0</v>
      </c>
      <c r="L61" s="125" t="s">
        <v>288</v>
      </c>
    </row>
    <row r="62" customFormat="false" ht="18" hidden="false" customHeight="true" outlineLevel="0" collapsed="false">
      <c r="A62" s="118" t="s">
        <v>212</v>
      </c>
      <c r="B62" s="119" t="n">
        <v>4</v>
      </c>
      <c r="C62" s="119" t="n">
        <v>0</v>
      </c>
      <c r="D62" s="119" t="n">
        <v>210</v>
      </c>
      <c r="E62" s="120" t="n">
        <f aca="false">B62*D62</f>
        <v>840</v>
      </c>
      <c r="F62" s="120" t="n">
        <f aca="false">C62*D62</f>
        <v>0</v>
      </c>
      <c r="G62" s="121" t="n">
        <v>1.49</v>
      </c>
      <c r="H62" s="122" t="n">
        <f aca="false">B62*G62</f>
        <v>5.96</v>
      </c>
      <c r="I62" s="122" t="n">
        <f aca="false">C62*G62</f>
        <v>0</v>
      </c>
      <c r="J62" s="123" t="n">
        <v>1.15</v>
      </c>
      <c r="K62" s="124" t="n">
        <f aca="false">B62*J62</f>
        <v>4.6</v>
      </c>
      <c r="L62" s="125" t="s">
        <v>289</v>
      </c>
    </row>
    <row r="63" customFormat="false" ht="15" hidden="false" customHeight="true" outlineLevel="0" collapsed="false">
      <c r="A63" s="116" t="s">
        <v>253</v>
      </c>
      <c r="E63" s="1" t="n">
        <f aca="false">SUM(E61:E62)</f>
        <v>840</v>
      </c>
      <c r="F63" s="1" t="n">
        <f aca="false">SUM(F61:F62)</f>
        <v>0</v>
      </c>
    </row>
    <row r="64" customFormat="false" ht="21.75" hidden="false" customHeight="true" outlineLevel="0" collapsed="false"/>
    <row r="65" customFormat="false" ht="13.5" hidden="false" customHeight="true" outlineLevel="0" collapsed="false">
      <c r="A65" s="111" t="s">
        <v>290</v>
      </c>
    </row>
    <row r="66" customFormat="false" ht="27.75" hidden="false" customHeight="true" outlineLevel="0" collapsed="false">
      <c r="A66" s="94" t="s">
        <v>291</v>
      </c>
    </row>
    <row r="67" customFormat="false" ht="18" hidden="false" customHeight="true" outlineLevel="0" collapsed="false">
      <c r="A67" s="5" t="s">
        <v>234</v>
      </c>
      <c r="B67" s="5" t="s">
        <v>235</v>
      </c>
      <c r="C67" s="5" t="s">
        <v>236</v>
      </c>
      <c r="D67" s="5" t="s">
        <v>237</v>
      </c>
      <c r="E67" s="5" t="s">
        <v>238</v>
      </c>
      <c r="F67" s="5" t="s">
        <v>239</v>
      </c>
      <c r="G67" s="5" t="s">
        <v>240</v>
      </c>
      <c r="H67" s="5" t="s">
        <v>241</v>
      </c>
      <c r="I67" s="5" t="s">
        <v>242</v>
      </c>
      <c r="J67" s="5" t="s">
        <v>243</v>
      </c>
      <c r="K67" s="5" t="s">
        <v>244</v>
      </c>
      <c r="L67" s="5" t="s">
        <v>11</v>
      </c>
    </row>
    <row r="68" customFormat="false" ht="18" hidden="false" customHeight="true" outlineLevel="0" collapsed="false">
      <c r="A68" s="10" t="s">
        <v>292</v>
      </c>
      <c r="B68" s="70" t="n">
        <v>4</v>
      </c>
      <c r="C68" s="70" t="n">
        <v>3</v>
      </c>
      <c r="D68" s="70" t="n">
        <v>150</v>
      </c>
      <c r="E68" s="71" t="n">
        <f aca="false">B68*D68</f>
        <v>600</v>
      </c>
      <c r="F68" s="71" t="n">
        <f aca="false">C68*D68</f>
        <v>450</v>
      </c>
      <c r="G68" s="72" t="n">
        <v>2.29</v>
      </c>
      <c r="H68" s="73" t="n">
        <f aca="false">B68*G68</f>
        <v>9.16</v>
      </c>
      <c r="I68" s="73" t="n">
        <f aca="false">C68*G68</f>
        <v>6.87</v>
      </c>
      <c r="J68" s="74" t="n">
        <v>2.5</v>
      </c>
      <c r="K68" s="75" t="n">
        <f aca="false">B68*J68</f>
        <v>10</v>
      </c>
      <c r="L68" s="76" t="s">
        <v>260</v>
      </c>
    </row>
    <row r="69" customFormat="false" ht="18" hidden="false" customHeight="true" outlineLevel="0" collapsed="false">
      <c r="A69" s="11" t="s">
        <v>264</v>
      </c>
      <c r="B69" s="77" t="n">
        <v>8</v>
      </c>
      <c r="C69" s="77" t="n">
        <v>6</v>
      </c>
      <c r="D69" s="77" t="n">
        <v>75</v>
      </c>
      <c r="E69" s="78" t="n">
        <f aca="false">B69*D69</f>
        <v>600</v>
      </c>
      <c r="F69" s="78" t="n">
        <f aca="false">C69*D69</f>
        <v>450</v>
      </c>
      <c r="G69" s="79" t="n">
        <v>0.25</v>
      </c>
      <c r="H69" s="80" t="n">
        <f aca="false">B69*G69</f>
        <v>2</v>
      </c>
      <c r="I69" s="80" t="n">
        <f aca="false">C69*G69</f>
        <v>1.5</v>
      </c>
      <c r="J69" s="81" t="n">
        <v>0.5</v>
      </c>
      <c r="K69" s="82" t="n">
        <f aca="false">B69*J69</f>
        <v>4</v>
      </c>
      <c r="L69" s="83" t="s">
        <v>265</v>
      </c>
    </row>
    <row r="70" customFormat="false" ht="18" hidden="false" customHeight="true" outlineLevel="0" collapsed="false">
      <c r="A70" s="10" t="s">
        <v>184</v>
      </c>
      <c r="B70" s="70" t="n">
        <v>4</v>
      </c>
      <c r="C70" s="70" t="n">
        <v>3</v>
      </c>
      <c r="D70" s="70" t="n">
        <v>90</v>
      </c>
      <c r="E70" s="71" t="n">
        <f aca="false">B70*D70</f>
        <v>360</v>
      </c>
      <c r="F70" s="71" t="n">
        <f aca="false">C70*D70</f>
        <v>270</v>
      </c>
      <c r="G70" s="72" t="n">
        <v>0.75</v>
      </c>
      <c r="H70" s="73" t="n">
        <f aca="false">B70*G70</f>
        <v>3</v>
      </c>
      <c r="I70" s="73" t="n">
        <f aca="false">C70*G70</f>
        <v>2.25</v>
      </c>
      <c r="J70" s="74" t="n">
        <v>0.7</v>
      </c>
      <c r="K70" s="75" t="n">
        <f aca="false">B70*J70</f>
        <v>2.8</v>
      </c>
      <c r="L70" s="76" t="s">
        <v>293</v>
      </c>
    </row>
    <row r="71" customFormat="false" ht="18" hidden="false" customHeight="true" outlineLevel="0" collapsed="false">
      <c r="A71" s="62" t="s">
        <v>294</v>
      </c>
      <c r="D71" s="63" t="n">
        <v>250</v>
      </c>
      <c r="E71" s="64" t="n">
        <f aca="false">B71*D71</f>
        <v>0</v>
      </c>
      <c r="F71" s="64" t="n">
        <f aca="false">C71*D71</f>
        <v>0</v>
      </c>
      <c r="G71" s="65" t="n">
        <v>1.29</v>
      </c>
      <c r="H71" s="66" t="n">
        <f aca="false">B71*G71</f>
        <v>0</v>
      </c>
      <c r="I71" s="66" t="n">
        <f aca="false">C71*G71</f>
        <v>0</v>
      </c>
      <c r="J71" s="67" t="n">
        <v>2.4</v>
      </c>
      <c r="K71" s="68" t="n">
        <f aca="false">B71*J71</f>
        <v>0</v>
      </c>
      <c r="L71" s="69" t="s">
        <v>295</v>
      </c>
    </row>
    <row r="72" customFormat="false" ht="18" hidden="false" customHeight="true" outlineLevel="0" collapsed="false">
      <c r="A72" s="62" t="s">
        <v>212</v>
      </c>
      <c r="B72" s="63" t="n">
        <v>4</v>
      </c>
      <c r="C72" s="63" t="n">
        <v>3</v>
      </c>
      <c r="D72" s="63" t="n">
        <v>210</v>
      </c>
      <c r="E72" s="64" t="n">
        <f aca="false">B72*D72</f>
        <v>840</v>
      </c>
      <c r="F72" s="64" t="n">
        <f aca="false">C72*D72</f>
        <v>630</v>
      </c>
      <c r="G72" s="65" t="n">
        <v>1.49</v>
      </c>
      <c r="H72" s="66" t="n">
        <f aca="false">B72*G72</f>
        <v>5.96</v>
      </c>
      <c r="I72" s="66" t="n">
        <f aca="false">C72*G72</f>
        <v>4.47</v>
      </c>
      <c r="J72" s="67" t="n">
        <v>1.15</v>
      </c>
      <c r="K72" s="68" t="n">
        <f aca="false">B72*J72</f>
        <v>4.6</v>
      </c>
      <c r="L72" s="69" t="s">
        <v>296</v>
      </c>
    </row>
    <row r="73" customFormat="false" ht="23.25" hidden="false" customHeight="true" outlineLevel="0" collapsed="false">
      <c r="A73" s="116" t="s">
        <v>253</v>
      </c>
      <c r="E73" s="1" t="n">
        <f aca="false">SUM(E68:E72)</f>
        <v>2400</v>
      </c>
      <c r="F73" s="1" t="n">
        <f aca="false">SUM(F68:F72)</f>
        <v>1800</v>
      </c>
    </row>
    <row r="74" customFormat="false" ht="21.75" hidden="false" customHeight="true" outlineLevel="0" collapsed="false"/>
    <row r="75" customFormat="false" ht="13.5" hidden="false" customHeight="true" outlineLevel="0" collapsed="false">
      <c r="A75" s="111" t="s">
        <v>297</v>
      </c>
    </row>
    <row r="76" customFormat="false" ht="27.75" hidden="false" customHeight="true" outlineLevel="0" collapsed="false">
      <c r="A76" s="94" t="s">
        <v>298</v>
      </c>
    </row>
    <row r="77" customFormat="false" ht="18" hidden="false" customHeight="true" outlineLevel="0" collapsed="false">
      <c r="A77" s="5" t="s">
        <v>234</v>
      </c>
      <c r="B77" s="5" t="s">
        <v>235</v>
      </c>
      <c r="C77" s="5" t="s">
        <v>236</v>
      </c>
      <c r="D77" s="5" t="s">
        <v>237</v>
      </c>
      <c r="E77" s="5" t="s">
        <v>238</v>
      </c>
      <c r="F77" s="5" t="s">
        <v>239</v>
      </c>
      <c r="G77" s="5" t="s">
        <v>240</v>
      </c>
      <c r="H77" s="5" t="s">
        <v>241</v>
      </c>
      <c r="I77" s="5" t="s">
        <v>242</v>
      </c>
      <c r="J77" s="5" t="s">
        <v>243</v>
      </c>
      <c r="K77" s="5" t="s">
        <v>244</v>
      </c>
      <c r="L77" s="5" t="s">
        <v>11</v>
      </c>
    </row>
    <row r="78" customFormat="false" ht="18" hidden="false" customHeight="true" outlineLevel="0" collapsed="false">
      <c r="A78" s="10" t="s">
        <v>213</v>
      </c>
      <c r="B78" s="70" t="n">
        <v>3</v>
      </c>
      <c r="C78" s="70" t="n">
        <v>2</v>
      </c>
      <c r="D78" s="70" t="n">
        <v>400</v>
      </c>
      <c r="E78" s="71" t="n">
        <f aca="false">B78*D78</f>
        <v>1200</v>
      </c>
      <c r="F78" s="71" t="n">
        <f aca="false">C78*D78</f>
        <v>800</v>
      </c>
      <c r="G78" s="72" t="n">
        <v>7.49</v>
      </c>
      <c r="H78" s="73" t="n">
        <f aca="false">B78*G78</f>
        <v>22.47</v>
      </c>
      <c r="I78" s="73" t="n">
        <f aca="false">C78*G78</f>
        <v>14.98</v>
      </c>
      <c r="J78" s="74" t="n">
        <v>3.5</v>
      </c>
      <c r="K78" s="75" t="n">
        <f aca="false">B78*J78</f>
        <v>10.5</v>
      </c>
      <c r="L78" s="76" t="s">
        <v>299</v>
      </c>
    </row>
    <row r="79" customFormat="false" ht="18" hidden="false" customHeight="true" outlineLevel="0" collapsed="false">
      <c r="A79" s="11" t="s">
        <v>264</v>
      </c>
      <c r="B79" s="77" t="n">
        <v>8</v>
      </c>
      <c r="C79" s="77" t="n">
        <v>6</v>
      </c>
      <c r="D79" s="77" t="n">
        <v>75</v>
      </c>
      <c r="E79" s="78" t="n">
        <f aca="false">B79*D79</f>
        <v>600</v>
      </c>
      <c r="F79" s="78" t="n">
        <f aca="false">C79*D79</f>
        <v>450</v>
      </c>
      <c r="G79" s="79" t="n">
        <v>0.25</v>
      </c>
      <c r="H79" s="80" t="n">
        <f aca="false">B79*G79</f>
        <v>2</v>
      </c>
      <c r="I79" s="80" t="n">
        <f aca="false">C79*G79</f>
        <v>1.5</v>
      </c>
      <c r="J79" s="81" t="n">
        <v>0.5</v>
      </c>
      <c r="K79" s="82" t="n">
        <f aca="false">B79*J79</f>
        <v>4</v>
      </c>
      <c r="L79" s="83" t="s">
        <v>265</v>
      </c>
    </row>
    <row r="80" customFormat="false" ht="18" hidden="false" customHeight="true" outlineLevel="0" collapsed="false">
      <c r="A80" s="10" t="s">
        <v>300</v>
      </c>
      <c r="B80" s="70" t="n">
        <v>4</v>
      </c>
      <c r="C80" s="70" t="n">
        <v>3</v>
      </c>
      <c r="D80" s="70" t="n">
        <v>110</v>
      </c>
      <c r="E80" s="71" t="n">
        <f aca="false">B80*D80</f>
        <v>440</v>
      </c>
      <c r="F80" s="71" t="n">
        <f aca="false">C80*D80</f>
        <v>330</v>
      </c>
      <c r="G80" s="72" t="n">
        <v>0.98</v>
      </c>
      <c r="H80" s="73" t="n">
        <f aca="false">B80*G80</f>
        <v>3.92</v>
      </c>
      <c r="I80" s="73" t="n">
        <f aca="false">C80*G80</f>
        <v>2.94</v>
      </c>
      <c r="J80" s="74" t="n">
        <v>1</v>
      </c>
      <c r="K80" s="75" t="n">
        <f aca="false">B80*J80</f>
        <v>4</v>
      </c>
      <c r="L80" s="76" t="s">
        <v>293</v>
      </c>
    </row>
    <row r="81" customFormat="false" ht="18" hidden="false" customHeight="true" outlineLevel="0" collapsed="false">
      <c r="A81" s="11" t="s">
        <v>198</v>
      </c>
      <c r="D81" s="77" t="n">
        <v>90</v>
      </c>
      <c r="E81" s="78" t="n">
        <f aca="false">B81*D81</f>
        <v>0</v>
      </c>
      <c r="F81" s="78" t="n">
        <f aca="false">C81*D81</f>
        <v>0</v>
      </c>
      <c r="G81" s="79" t="n">
        <v>0.38</v>
      </c>
      <c r="H81" s="80" t="n">
        <f aca="false">B81*G81</f>
        <v>0</v>
      </c>
      <c r="I81" s="80" t="n">
        <f aca="false">C81*G81</f>
        <v>0</v>
      </c>
      <c r="J81" s="81" t="n">
        <v>0.73</v>
      </c>
      <c r="K81" s="82" t="n">
        <f aca="false">B81*J81</f>
        <v>0</v>
      </c>
      <c r="L81" s="83" t="s">
        <v>301</v>
      </c>
    </row>
    <row r="82" customFormat="false" ht="18" hidden="false" customHeight="true" outlineLevel="0" collapsed="false">
      <c r="A82" s="40" t="s">
        <v>267</v>
      </c>
      <c r="B82" s="96"/>
      <c r="C82" s="96"/>
      <c r="D82" s="96"/>
      <c r="E82" s="97"/>
      <c r="F82" s="97"/>
      <c r="G82" s="98"/>
      <c r="H82" s="99"/>
      <c r="I82" s="99"/>
      <c r="J82" s="100"/>
      <c r="K82" s="101"/>
      <c r="L82" s="76" t="s">
        <v>302</v>
      </c>
    </row>
    <row r="83" customFormat="false" ht="15" hidden="false" customHeight="true" outlineLevel="0" collapsed="false">
      <c r="A83" s="116" t="s">
        <v>253</v>
      </c>
      <c r="E83" s="1" t="n">
        <f aca="false">SUM(E78:E82)</f>
        <v>2240</v>
      </c>
      <c r="F83" s="1" t="n">
        <f aca="false">SUM(F78:F82)</f>
        <v>1580</v>
      </c>
    </row>
    <row r="84" customFormat="false" ht="21.75" hidden="false" customHeight="true" outlineLevel="0" collapsed="false"/>
    <row r="85" customFormat="false" ht="13.5" hidden="false" customHeight="true" outlineLevel="0" collapsed="false">
      <c r="A85" s="126" t="s">
        <v>303</v>
      </c>
    </row>
    <row r="86" customFormat="false" ht="27.75" hidden="false" customHeight="true" outlineLevel="0" collapsed="false">
      <c r="A86" s="94" t="s">
        <v>304</v>
      </c>
    </row>
    <row r="87" customFormat="false" ht="18" hidden="false" customHeight="true" outlineLevel="0" collapsed="false">
      <c r="A87" s="5" t="s">
        <v>234</v>
      </c>
      <c r="D87" s="5" t="s">
        <v>237</v>
      </c>
      <c r="E87" s="5" t="s">
        <v>238</v>
      </c>
      <c r="F87" s="5" t="s">
        <v>239</v>
      </c>
      <c r="G87" s="5" t="s">
        <v>240</v>
      </c>
      <c r="H87" s="5" t="s">
        <v>241</v>
      </c>
      <c r="I87" s="5" t="s">
        <v>242</v>
      </c>
      <c r="J87" s="5" t="s">
        <v>243</v>
      </c>
      <c r="K87" s="5" t="s">
        <v>244</v>
      </c>
      <c r="L87" s="5" t="s">
        <v>11</v>
      </c>
    </row>
    <row r="88" customFormat="false" ht="18" hidden="false" customHeight="true" outlineLevel="0" collapsed="false">
      <c r="A88" s="62" t="s">
        <v>305</v>
      </c>
      <c r="B88" s="63" t="n">
        <v>4</v>
      </c>
      <c r="C88" s="63" t="n">
        <v>3</v>
      </c>
      <c r="D88" s="63" t="n">
        <v>220</v>
      </c>
      <c r="E88" s="64" t="n">
        <f aca="false">B88*D88</f>
        <v>880</v>
      </c>
      <c r="F88" s="64" t="n">
        <f aca="false">C88*D88</f>
        <v>660</v>
      </c>
      <c r="G88" s="65" t="n">
        <v>1.49</v>
      </c>
      <c r="H88" s="66" t="n">
        <f aca="false">B88*G88</f>
        <v>5.96</v>
      </c>
      <c r="I88" s="66" t="n">
        <f aca="false">C88*G88</f>
        <v>4.47</v>
      </c>
      <c r="J88" s="67" t="n">
        <v>1.41</v>
      </c>
      <c r="K88" s="68" t="n">
        <f aca="false">B88*J88</f>
        <v>5.64</v>
      </c>
      <c r="L88" s="69" t="s">
        <v>306</v>
      </c>
    </row>
    <row r="89" customFormat="false" ht="23.25" hidden="false" customHeight="true" outlineLevel="0" collapsed="false">
      <c r="A89" s="116" t="s">
        <v>253</v>
      </c>
      <c r="E89" s="1" t="n">
        <f aca="false">SUM(E88:E88)</f>
        <v>880</v>
      </c>
      <c r="F89" s="1" t="n">
        <f aca="false">SUM(F88:F88)</f>
        <v>660</v>
      </c>
    </row>
    <row r="90" customFormat="false" ht="21.75" hidden="false" customHeight="true" outlineLevel="0" collapsed="false"/>
    <row r="91" customFormat="false" ht="13.5" hidden="false" customHeight="true" outlineLevel="0" collapsed="false">
      <c r="A91" s="111" t="s">
        <v>307</v>
      </c>
    </row>
    <row r="92" customFormat="false" ht="27.75" hidden="false" customHeight="true" outlineLevel="0" collapsed="false">
      <c r="A92" s="94" t="s">
        <v>308</v>
      </c>
    </row>
    <row r="93" customFormat="false" ht="18" hidden="false" customHeight="true" outlineLevel="0" collapsed="false">
      <c r="A93" s="5" t="s">
        <v>234</v>
      </c>
      <c r="B93" s="5" t="s">
        <v>235</v>
      </c>
      <c r="C93" s="5" t="s">
        <v>236</v>
      </c>
      <c r="D93" s="5" t="s">
        <v>237</v>
      </c>
      <c r="E93" s="5" t="s">
        <v>238</v>
      </c>
      <c r="F93" s="5" t="s">
        <v>239</v>
      </c>
      <c r="G93" s="5" t="s">
        <v>240</v>
      </c>
      <c r="H93" s="5" t="s">
        <v>241</v>
      </c>
      <c r="I93" s="5" t="s">
        <v>242</v>
      </c>
      <c r="J93" s="5" t="s">
        <v>243</v>
      </c>
      <c r="K93" s="5" t="s">
        <v>244</v>
      </c>
      <c r="L93" s="5" t="s">
        <v>11</v>
      </c>
    </row>
    <row r="94" customFormat="false" ht="18" hidden="false" customHeight="true" outlineLevel="0" collapsed="false">
      <c r="A94" s="62" t="s">
        <v>218</v>
      </c>
      <c r="B94" s="63" t="n">
        <v>4</v>
      </c>
      <c r="C94" s="63" t="n">
        <v>3</v>
      </c>
      <c r="D94" s="63" t="n">
        <v>410</v>
      </c>
      <c r="E94" s="64" t="n">
        <f aca="false">B94*D94</f>
        <v>1640</v>
      </c>
      <c r="F94" s="64" t="n">
        <f aca="false">C94*D94</f>
        <v>1230</v>
      </c>
      <c r="G94" s="65" t="n">
        <v>2.99</v>
      </c>
      <c r="H94" s="66" t="n">
        <f aca="false">B94*G94</f>
        <v>11.96</v>
      </c>
      <c r="I94" s="66" t="n">
        <f aca="false">C94*G94</f>
        <v>8.97</v>
      </c>
      <c r="J94" s="67" t="n">
        <v>3</v>
      </c>
      <c r="K94" s="68" t="n">
        <f aca="false">B94*J94</f>
        <v>12</v>
      </c>
      <c r="L94" s="69" t="s">
        <v>309</v>
      </c>
    </row>
    <row r="95" customFormat="false" ht="18" hidden="false" customHeight="true" outlineLevel="0" collapsed="false">
      <c r="A95" s="11" t="s">
        <v>198</v>
      </c>
      <c r="D95" s="77" t="n">
        <v>90</v>
      </c>
      <c r="E95" s="78" t="n">
        <f aca="false">B95*D95</f>
        <v>0</v>
      </c>
      <c r="F95" s="78" t="n">
        <f aca="false">C95*D95</f>
        <v>0</v>
      </c>
      <c r="G95" s="79" t="n">
        <v>0.38</v>
      </c>
      <c r="H95" s="80" t="n">
        <f aca="false">B95*G95</f>
        <v>0</v>
      </c>
      <c r="I95" s="80" t="n">
        <f aca="false">C95*G95</f>
        <v>0</v>
      </c>
      <c r="J95" s="81" t="n">
        <v>0.73</v>
      </c>
      <c r="K95" s="82" t="n">
        <f aca="false">B95*J95</f>
        <v>0</v>
      </c>
      <c r="L95" s="83" t="s">
        <v>310</v>
      </c>
    </row>
    <row r="96" customFormat="false" ht="18" hidden="false" customHeight="true" outlineLevel="0" collapsed="false">
      <c r="A96" s="40" t="s">
        <v>267</v>
      </c>
      <c r="B96" s="96"/>
      <c r="C96" s="96"/>
      <c r="D96" s="96"/>
      <c r="E96" s="97"/>
      <c r="F96" s="97"/>
      <c r="G96" s="98"/>
      <c r="H96" s="99"/>
      <c r="I96" s="99"/>
      <c r="J96" s="100"/>
      <c r="K96" s="101"/>
      <c r="L96" s="76" t="s">
        <v>311</v>
      </c>
    </row>
    <row r="97" customFormat="false" ht="15" hidden="false" customHeight="true" outlineLevel="0" collapsed="false">
      <c r="A97" s="116" t="s">
        <v>253</v>
      </c>
      <c r="E97" s="1" t="n">
        <f aca="false">SUM(E94:E96)</f>
        <v>1640</v>
      </c>
      <c r="F97" s="1" t="n">
        <f aca="false">SUM(F94:F96)</f>
        <v>1230</v>
      </c>
    </row>
    <row r="98" customFormat="false" ht="21.75" hidden="false" customHeight="true" outlineLevel="0" collapsed="false"/>
    <row r="99" customFormat="false" ht="13.5" hidden="false" customHeight="true" outlineLevel="0" collapsed="false">
      <c r="A99" s="111" t="s">
        <v>312</v>
      </c>
    </row>
    <row r="100" customFormat="false" ht="27.75" hidden="false" customHeight="true" outlineLevel="0" collapsed="false">
      <c r="A100" s="94" t="s">
        <v>313</v>
      </c>
    </row>
    <row r="101" customFormat="false" ht="18" hidden="false" customHeight="true" outlineLevel="0" collapsed="false">
      <c r="A101" s="5" t="s">
        <v>234</v>
      </c>
      <c r="B101" s="5" t="s">
        <v>235</v>
      </c>
      <c r="C101" s="5" t="s">
        <v>236</v>
      </c>
      <c r="D101" s="5" t="s">
        <v>237</v>
      </c>
      <c r="E101" s="5" t="s">
        <v>238</v>
      </c>
      <c r="F101" s="5" t="s">
        <v>239</v>
      </c>
      <c r="G101" s="5" t="s">
        <v>240</v>
      </c>
      <c r="H101" s="5" t="s">
        <v>241</v>
      </c>
      <c r="I101" s="5" t="s">
        <v>242</v>
      </c>
      <c r="J101" s="5" t="s">
        <v>243</v>
      </c>
      <c r="K101" s="5" t="s">
        <v>244</v>
      </c>
      <c r="L101" s="5" t="s">
        <v>11</v>
      </c>
    </row>
    <row r="102" customFormat="false" ht="18" hidden="false" customHeight="true" outlineLevel="0" collapsed="false">
      <c r="A102" s="112" t="s">
        <v>294</v>
      </c>
      <c r="B102" s="77" t="n">
        <v>4</v>
      </c>
      <c r="C102" s="77" t="n">
        <v>3</v>
      </c>
      <c r="D102" s="113" t="n">
        <v>250</v>
      </c>
      <c r="E102" s="114" t="n">
        <f aca="false">B102*D102</f>
        <v>1000</v>
      </c>
      <c r="F102" s="114" t="n">
        <f aca="false">C102*D102</f>
        <v>750</v>
      </c>
      <c r="G102" s="79" t="n">
        <v>1.29</v>
      </c>
      <c r="H102" s="66" t="n">
        <f aca="false">B102*G102</f>
        <v>5.16</v>
      </c>
      <c r="I102" s="66" t="n">
        <f aca="false">C102*G102</f>
        <v>3.87</v>
      </c>
      <c r="J102" s="67" t="n">
        <v>2.4</v>
      </c>
      <c r="K102" s="68" t="n">
        <f aca="false">B102*J102</f>
        <v>9.6</v>
      </c>
      <c r="L102" s="69" t="s">
        <v>295</v>
      </c>
    </row>
    <row r="103" customFormat="false" ht="15.75" hidden="false" customHeight="true" outlineLevel="0" collapsed="false">
      <c r="A103" s="112" t="s">
        <v>249</v>
      </c>
      <c r="B103" s="77" t="n">
        <v>4</v>
      </c>
      <c r="C103" s="77" t="n">
        <v>3</v>
      </c>
      <c r="D103" s="113" t="n">
        <v>140</v>
      </c>
      <c r="E103" s="114" t="n">
        <f aca="false">B103*D103</f>
        <v>560</v>
      </c>
      <c r="F103" s="114" t="n">
        <f aca="false">C103*D103</f>
        <v>420</v>
      </c>
      <c r="G103" s="79" t="n">
        <v>2.19</v>
      </c>
      <c r="H103" s="80" t="n">
        <f aca="false">B103*G103</f>
        <v>8.76</v>
      </c>
      <c r="I103" s="80" t="n">
        <f aca="false">C103*G103</f>
        <v>6.57</v>
      </c>
      <c r="J103" s="81" t="n">
        <v>1.48</v>
      </c>
      <c r="K103" s="82" t="n">
        <f aca="false">B103*J103</f>
        <v>5.92</v>
      </c>
      <c r="L103" s="83" t="s">
        <v>280</v>
      </c>
    </row>
    <row r="104" customFormat="false" ht="15.75" hidden="false" customHeight="true" outlineLevel="0" collapsed="false">
      <c r="A104" s="112" t="s">
        <v>178</v>
      </c>
      <c r="B104" s="77" t="n">
        <v>4</v>
      </c>
      <c r="C104" s="77" t="n">
        <v>3</v>
      </c>
      <c r="D104" s="113" t="n">
        <v>130</v>
      </c>
      <c r="E104" s="114" t="n">
        <f aca="false">B104*D104</f>
        <v>520</v>
      </c>
      <c r="F104" s="114" t="n">
        <f aca="false">C104*D104</f>
        <v>390</v>
      </c>
      <c r="G104" s="79" t="n">
        <v>0.38</v>
      </c>
      <c r="H104" s="80" t="n">
        <f aca="false">B104*G104</f>
        <v>1.52</v>
      </c>
      <c r="I104" s="80" t="n">
        <f aca="false">C104*G104</f>
        <v>1.14</v>
      </c>
      <c r="J104" s="81" t="n">
        <v>1.23</v>
      </c>
      <c r="K104" s="82" t="n">
        <f aca="false">B104*J104</f>
        <v>4.92</v>
      </c>
      <c r="L104" s="83" t="s">
        <v>314</v>
      </c>
    </row>
    <row r="105" customFormat="false" ht="15.75" hidden="false" customHeight="true" outlineLevel="0" collapsed="false">
      <c r="A105" s="112" t="s">
        <v>315</v>
      </c>
      <c r="B105" s="77" t="n">
        <v>2</v>
      </c>
      <c r="C105" s="77" t="n">
        <v>2</v>
      </c>
      <c r="D105" s="113" t="n">
        <v>300</v>
      </c>
      <c r="E105" s="114" t="n">
        <f aca="false">B105*D105</f>
        <v>600</v>
      </c>
      <c r="F105" s="114" t="n">
        <f aca="false">C105*D105</f>
        <v>600</v>
      </c>
      <c r="G105" s="79" t="n">
        <v>4.99</v>
      </c>
    </row>
    <row r="106" customFormat="false" ht="15.75" hidden="false" customHeight="true" outlineLevel="0" collapsed="false">
      <c r="A106" s="87" t="s">
        <v>253</v>
      </c>
      <c r="B106" s="88"/>
      <c r="C106" s="88"/>
      <c r="D106" s="89"/>
      <c r="E106" s="90" t="n">
        <f aca="false">SUM(E102:E105)</f>
        <v>2680</v>
      </c>
      <c r="F106" s="91" t="n">
        <f aca="false">SUM(F102:F105)</f>
        <v>2160</v>
      </c>
      <c r="G106" s="89"/>
      <c r="H106" s="92" t="n">
        <f aca="false">SUM(H101:H105)</f>
        <v>15.44</v>
      </c>
      <c r="I106" s="93" t="n">
        <f aca="false">SUM(I101:I105)</f>
        <v>11.58</v>
      </c>
      <c r="J106" s="89"/>
      <c r="K106" s="89"/>
      <c r="L106" s="89"/>
    </row>
    <row r="107" customFormat="false" ht="15.75" hidden="false" customHeight="true" outlineLevel="0" collapsed="false"/>
    <row r="108" customFormat="false" ht="15.75" hidden="false" customHeight="true" outlineLevel="0" collapsed="false">
      <c r="A108" s="111" t="s">
        <v>316</v>
      </c>
    </row>
    <row r="109" customFormat="false" ht="27.75" hidden="false" customHeight="true" outlineLevel="0" collapsed="false">
      <c r="A109" s="94" t="s">
        <v>317</v>
      </c>
    </row>
    <row r="110" customFormat="false" ht="18" hidden="false" customHeight="true" outlineLevel="0" collapsed="false">
      <c r="A110" s="5" t="s">
        <v>234</v>
      </c>
      <c r="B110" s="5" t="s">
        <v>235</v>
      </c>
      <c r="C110" s="5" t="s">
        <v>236</v>
      </c>
      <c r="D110" s="5" t="s">
        <v>237</v>
      </c>
      <c r="E110" s="5" t="s">
        <v>238</v>
      </c>
      <c r="F110" s="5" t="s">
        <v>239</v>
      </c>
      <c r="G110" s="5" t="s">
        <v>240</v>
      </c>
      <c r="H110" s="5" t="s">
        <v>241</v>
      </c>
      <c r="I110" s="5" t="s">
        <v>242</v>
      </c>
      <c r="J110" s="5" t="s">
        <v>243</v>
      </c>
      <c r="K110" s="5" t="s">
        <v>244</v>
      </c>
      <c r="L110" s="5" t="s">
        <v>11</v>
      </c>
    </row>
    <row r="111" customFormat="false" ht="18" hidden="false" customHeight="true" outlineLevel="0" collapsed="false">
      <c r="A111" s="11" t="s">
        <v>264</v>
      </c>
      <c r="B111" s="127" t="n">
        <v>8</v>
      </c>
      <c r="C111" s="128" t="n">
        <v>6</v>
      </c>
      <c r="D111" s="128" t="n">
        <v>75</v>
      </c>
      <c r="E111" s="129" t="n">
        <f aca="false">B111*D111</f>
        <v>600</v>
      </c>
      <c r="F111" s="129" t="n">
        <f aca="false">C111*D111</f>
        <v>450</v>
      </c>
      <c r="G111" s="128" t="n">
        <v>0.25</v>
      </c>
      <c r="H111" s="128" t="n">
        <f aca="false">B111*G111</f>
        <v>2</v>
      </c>
      <c r="I111" s="128" t="n">
        <f aca="false">C111*G111</f>
        <v>1.5</v>
      </c>
    </row>
    <row r="112" customFormat="false" ht="18" hidden="false" customHeight="true" outlineLevel="0" collapsed="false">
      <c r="A112" s="130" t="s">
        <v>212</v>
      </c>
      <c r="B112" s="127" t="n">
        <v>4</v>
      </c>
      <c r="C112" s="128" t="n">
        <v>3</v>
      </c>
      <c r="D112" s="128" t="n">
        <v>190</v>
      </c>
      <c r="E112" s="129" t="n">
        <f aca="false">B112*D112</f>
        <v>760</v>
      </c>
      <c r="F112" s="129" t="n">
        <f aca="false">C112*D112</f>
        <v>570</v>
      </c>
      <c r="G112" s="128" t="n">
        <v>1.49</v>
      </c>
      <c r="H112" s="128" t="n">
        <f aca="false">B112*G112</f>
        <v>5.96</v>
      </c>
      <c r="I112" s="128" t="n">
        <f aca="false">C112*G112</f>
        <v>4.47</v>
      </c>
    </row>
    <row r="113" customFormat="false" ht="15" hidden="false" customHeight="true" outlineLevel="0" collapsed="false">
      <c r="A113" s="87" t="s">
        <v>253</v>
      </c>
      <c r="B113" s="88"/>
      <c r="C113" s="88"/>
      <c r="D113" s="89"/>
      <c r="E113" s="90" t="n">
        <f aca="false">SUM(E111:E112)</f>
        <v>1360</v>
      </c>
      <c r="F113" s="91" t="n">
        <f aca="false">SUM(F111:F112)</f>
        <v>1020</v>
      </c>
      <c r="G113" s="89"/>
      <c r="H113" s="92" t="n">
        <f aca="false">SUM(H111:H112)</f>
        <v>7.96</v>
      </c>
      <c r="I113" s="93" t="n">
        <f aca="false">SUM(I111:I112)</f>
        <v>5.97</v>
      </c>
      <c r="J113" s="89"/>
      <c r="K113" s="89"/>
      <c r="L113" s="89"/>
    </row>
    <row r="114" customFormat="false" ht="21.75" hidden="false" customHeight="true" outlineLevel="0" collapsed="false"/>
    <row r="115" customFormat="false" ht="13.5" hidden="false" customHeight="true" outlineLevel="0" collapsed="false">
      <c r="A115" s="111" t="s">
        <v>318</v>
      </c>
    </row>
    <row r="116" customFormat="false" ht="21.75" hidden="false" customHeight="true" outlineLevel="0" collapsed="false">
      <c r="A116" s="94" t="s">
        <v>319</v>
      </c>
    </row>
    <row r="117" customFormat="false" ht="18" hidden="false" customHeight="true" outlineLevel="0" collapsed="false">
      <c r="A117" s="116" t="s">
        <v>320</v>
      </c>
      <c r="B117" s="89"/>
      <c r="C117" s="89"/>
      <c r="D117" s="89"/>
      <c r="E117" s="131" t="n">
        <f aca="false">E15+E23+E33+E39+E47+E56+E63+E73+E83+E89+E97+E106+E113</f>
        <v>26080</v>
      </c>
      <c r="F117" s="132" t="n">
        <f aca="false">F15+F23+F33+F39+F47+F56+F63+F73+F83+F89+F97+F106+F113</f>
        <v>19930</v>
      </c>
      <c r="G117" s="89"/>
      <c r="H117" s="133" t="n">
        <f aca="false">H15+H23+H33+H39+H47+H56+H63+H73+H83+H89+H97+H106+H113</f>
        <v>97.39</v>
      </c>
      <c r="I117" s="134" t="n">
        <f aca="false">I15+I23+I33+I39+I47+I56+I63+I73+I83+I89+I97+I106+I113</f>
        <v>75.73</v>
      </c>
      <c r="J117" s="89"/>
      <c r="K117" s="89"/>
      <c r="L117" s="89"/>
    </row>
    <row r="118" customFormat="false" ht="15" hidden="false" customHeight="true" outlineLevel="0" collapsed="false">
      <c r="A118" s="135" t="s">
        <v>321</v>
      </c>
      <c r="B118" s="136"/>
      <c r="C118" s="136"/>
      <c r="D118" s="136"/>
      <c r="E118" s="137" t="n">
        <f aca="false">E117/4</f>
        <v>6520</v>
      </c>
      <c r="F118" s="138" t="n">
        <f aca="false">F117/3</f>
        <v>6643.33333333333</v>
      </c>
      <c r="G118" s="136"/>
      <c r="H118" s="139" t="n">
        <f aca="false">H117/4</f>
        <v>24.3475</v>
      </c>
      <c r="I118" s="140" t="n">
        <f aca="false">I117/3</f>
        <v>25.2433333333333</v>
      </c>
      <c r="J118" s="136"/>
      <c r="K118" s="136"/>
      <c r="L118" s="136"/>
    </row>
    <row r="119" customFormat="false" ht="21.7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</sheetData>
  <mergeCells count="18">
    <mergeCell ref="A1:L1"/>
    <mergeCell ref="A2:L2"/>
    <mergeCell ref="A4:L4"/>
    <mergeCell ref="A5:L5"/>
    <mergeCell ref="A7:L7"/>
    <mergeCell ref="A8:L8"/>
    <mergeCell ref="A14:C14"/>
    <mergeCell ref="A16:L16"/>
    <mergeCell ref="A17:L17"/>
    <mergeCell ref="A22:C22"/>
    <mergeCell ref="A24:L24"/>
    <mergeCell ref="A25:L25"/>
    <mergeCell ref="A34:L34"/>
    <mergeCell ref="A35:L35"/>
    <mergeCell ref="A38:C38"/>
    <mergeCell ref="A40:L40"/>
    <mergeCell ref="A41:L41"/>
    <mergeCell ref="A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40"/>
  </cols>
  <sheetData>
    <row r="1" customFormat="false" ht="25.5" hidden="false" customHeight="true" outlineLevel="0" collapsed="false">
      <c r="A1" s="141" t="s">
        <v>322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customFormat="false" ht="13.5" hidden="false" customHeight="true" outlineLevel="0" collapsed="false">
      <c r="A2" s="58" t="s">
        <v>323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30" hidden="false" customHeight="true" outlineLevel="0" collapsed="false">
      <c r="A3" s="142" t="s">
        <v>174</v>
      </c>
      <c r="B3" s="142" t="s">
        <v>234</v>
      </c>
      <c r="C3" s="142" t="s">
        <v>235</v>
      </c>
      <c r="D3" s="142" t="s">
        <v>236</v>
      </c>
      <c r="E3" s="142" t="s">
        <v>98</v>
      </c>
      <c r="F3" s="142" t="s">
        <v>240</v>
      </c>
      <c r="G3" s="142" t="s">
        <v>241</v>
      </c>
      <c r="H3" s="142" t="s">
        <v>242</v>
      </c>
      <c r="I3" s="142" t="s">
        <v>324</v>
      </c>
      <c r="J3" s="142" t="s">
        <v>243</v>
      </c>
      <c r="K3" s="142" t="s">
        <v>325</v>
      </c>
      <c r="L3" s="142" t="s">
        <v>326</v>
      </c>
    </row>
    <row r="4" customFormat="false" ht="18" hidden="false" customHeight="true" outlineLevel="0" collapsed="false">
      <c r="A4" s="143" t="s">
        <v>174</v>
      </c>
      <c r="B4" s="144" t="s">
        <v>196</v>
      </c>
      <c r="C4" s="63" t="n">
        <v>4</v>
      </c>
      <c r="D4" s="63" t="n">
        <v>3</v>
      </c>
      <c r="E4" s="145" t="n">
        <v>20</v>
      </c>
      <c r="F4" s="65" t="n">
        <v>2.19</v>
      </c>
      <c r="G4" s="66" t="n">
        <f aca="false">C4*F4</f>
        <v>8.76</v>
      </c>
      <c r="H4" s="66" t="n">
        <f aca="false">D4*F4</f>
        <v>6.57</v>
      </c>
      <c r="I4" s="146" t="n">
        <f aca="false">E4*F4</f>
        <v>43.8</v>
      </c>
      <c r="J4" s="67" t="n">
        <v>3.53</v>
      </c>
      <c r="K4" s="68" t="n">
        <f aca="false">E4*J4</f>
        <v>70.6</v>
      </c>
      <c r="L4" s="147" t="s">
        <v>327</v>
      </c>
    </row>
    <row r="5" customFormat="false" ht="18" hidden="false" customHeight="true" outlineLevel="0" collapsed="false">
      <c r="A5" s="143" t="s">
        <v>174</v>
      </c>
      <c r="B5" s="144" t="s">
        <v>218</v>
      </c>
      <c r="C5" s="63" t="n">
        <v>4</v>
      </c>
      <c r="D5" s="63" t="n">
        <v>3</v>
      </c>
      <c r="E5" s="145" t="n">
        <v>20</v>
      </c>
      <c r="F5" s="65" t="n">
        <v>2.99</v>
      </c>
      <c r="G5" s="66" t="n">
        <f aca="false">C5*F5</f>
        <v>11.96</v>
      </c>
      <c r="H5" s="66" t="n">
        <f aca="false">D5*F5</f>
        <v>8.97</v>
      </c>
      <c r="I5" s="146" t="n">
        <f aca="false">E5*F5</f>
        <v>59.8</v>
      </c>
      <c r="J5" s="67" t="n">
        <v>3</v>
      </c>
      <c r="K5" s="68" t="n">
        <f aca="false">E5*J5</f>
        <v>60</v>
      </c>
      <c r="L5" s="147" t="s">
        <v>328</v>
      </c>
    </row>
    <row r="6" customFormat="false" ht="18" hidden="false" customHeight="true" outlineLevel="0" collapsed="false">
      <c r="A6" s="148" t="s">
        <v>174</v>
      </c>
      <c r="B6" s="149" t="s">
        <v>186</v>
      </c>
      <c r="C6" s="150" t="n">
        <v>3</v>
      </c>
      <c r="D6" s="150" t="n">
        <v>2</v>
      </c>
      <c r="E6" s="151" t="n">
        <v>14</v>
      </c>
      <c r="F6" s="152" t="n">
        <v>7.49</v>
      </c>
      <c r="G6" s="153" t="n">
        <f aca="false">C6*F6</f>
        <v>22.47</v>
      </c>
      <c r="H6" s="153" t="n">
        <f aca="false">D6*F6</f>
        <v>14.98</v>
      </c>
      <c r="I6" s="154" t="n">
        <f aca="false">E6*F6</f>
        <v>104.86</v>
      </c>
      <c r="J6" s="155" t="n">
        <v>3.2</v>
      </c>
      <c r="K6" s="156" t="n">
        <f aca="false">E6*J6</f>
        <v>44.8</v>
      </c>
      <c r="L6" s="157" t="s">
        <v>329</v>
      </c>
    </row>
    <row r="7" customFormat="false" ht="18" hidden="false" customHeight="true" outlineLevel="0" collapsed="false">
      <c r="A7" s="148" t="s">
        <v>174</v>
      </c>
      <c r="B7" s="149" t="s">
        <v>213</v>
      </c>
      <c r="C7" s="150" t="n">
        <v>3</v>
      </c>
      <c r="D7" s="150" t="n">
        <v>2</v>
      </c>
      <c r="E7" s="151" t="n">
        <v>14</v>
      </c>
      <c r="F7" s="152" t="n">
        <v>7.49</v>
      </c>
      <c r="G7" s="153" t="n">
        <f aca="false">C7*F7</f>
        <v>22.47</v>
      </c>
      <c r="H7" s="153" t="n">
        <f aca="false">D7*F7</f>
        <v>14.98</v>
      </c>
      <c r="I7" s="154" t="n">
        <f aca="false">E7*F7</f>
        <v>104.86</v>
      </c>
      <c r="J7" s="155" t="n">
        <v>3.5</v>
      </c>
      <c r="K7" s="156" t="n">
        <f aca="false">E7*J7</f>
        <v>49</v>
      </c>
      <c r="L7" s="157" t="s">
        <v>330</v>
      </c>
    </row>
    <row r="8" customFormat="false" ht="18" hidden="false" customHeight="true" outlineLevel="0" collapsed="false">
      <c r="A8" s="143" t="s">
        <v>174</v>
      </c>
      <c r="B8" s="144" t="s">
        <v>271</v>
      </c>
      <c r="C8" s="63" t="n">
        <v>2</v>
      </c>
      <c r="D8" s="63" t="n">
        <v>2</v>
      </c>
      <c r="E8" s="145" t="n">
        <v>12</v>
      </c>
      <c r="F8" s="65" t="n">
        <v>8.99</v>
      </c>
      <c r="G8" s="66" t="n">
        <f aca="false">C8*F8</f>
        <v>17.98</v>
      </c>
      <c r="H8" s="66" t="n">
        <f aca="false">D8*F8</f>
        <v>17.98</v>
      </c>
      <c r="I8" s="146" t="n">
        <f aca="false">E8*F8</f>
        <v>107.88</v>
      </c>
      <c r="J8" s="67" t="n">
        <v>2.26</v>
      </c>
      <c r="K8" s="68" t="n">
        <f aca="false">E8*J8</f>
        <v>27.12</v>
      </c>
      <c r="L8" s="147" t="s">
        <v>331</v>
      </c>
    </row>
    <row r="9" customFormat="false" ht="18" hidden="false" customHeight="true" outlineLevel="0" collapsed="false">
      <c r="A9" s="143" t="s">
        <v>174</v>
      </c>
      <c r="B9" s="144" t="s">
        <v>305</v>
      </c>
      <c r="C9" s="63" t="n">
        <v>4</v>
      </c>
      <c r="D9" s="63" t="n">
        <v>3</v>
      </c>
      <c r="E9" s="145" t="n">
        <v>20</v>
      </c>
      <c r="F9" s="65" t="n">
        <v>1.49</v>
      </c>
      <c r="G9" s="66" t="n">
        <f aca="false">C9*F9</f>
        <v>5.96</v>
      </c>
      <c r="H9" s="66" t="n">
        <f aca="false">D9*F9</f>
        <v>4.47</v>
      </c>
      <c r="I9" s="146" t="n">
        <f aca="false">E9*F9</f>
        <v>29.8</v>
      </c>
      <c r="J9" s="67" t="n">
        <v>1.41</v>
      </c>
      <c r="K9" s="68" t="n">
        <f aca="false">E9*J9</f>
        <v>28.2</v>
      </c>
      <c r="L9" s="147" t="s">
        <v>332</v>
      </c>
    </row>
    <row r="10" customFormat="false" ht="18" hidden="false" customHeight="true" outlineLevel="0" collapsed="false">
      <c r="A10" s="158" t="s">
        <v>174</v>
      </c>
      <c r="B10" s="10" t="s">
        <v>256</v>
      </c>
      <c r="C10" s="70" t="n">
        <v>4</v>
      </c>
      <c r="D10" s="70" t="n">
        <v>3</v>
      </c>
      <c r="E10" s="159" t="n">
        <v>20</v>
      </c>
      <c r="F10" s="72" t="n">
        <v>2.99</v>
      </c>
      <c r="G10" s="73" t="n">
        <f aca="false">C10*F10</f>
        <v>11.96</v>
      </c>
      <c r="H10" s="73" t="n">
        <f aca="false">D10*F10</f>
        <v>8.97</v>
      </c>
      <c r="I10" s="160" t="n">
        <f aca="false">E10*F10</f>
        <v>59.8</v>
      </c>
      <c r="J10" s="74" t="n">
        <v>2</v>
      </c>
      <c r="K10" s="75" t="n">
        <f aca="false">E10*J10</f>
        <v>40</v>
      </c>
      <c r="L10" s="76" t="s">
        <v>333</v>
      </c>
    </row>
    <row r="11" customFormat="false" ht="18" hidden="false" customHeight="true" outlineLevel="0" collapsed="false">
      <c r="A11" s="161" t="s">
        <v>174</v>
      </c>
      <c r="B11" s="11" t="s">
        <v>258</v>
      </c>
      <c r="C11" s="77" t="n">
        <v>4</v>
      </c>
      <c r="D11" s="77" t="n">
        <v>3</v>
      </c>
      <c r="E11" s="162" t="n">
        <v>20</v>
      </c>
      <c r="F11" s="79" t="n">
        <v>0.5</v>
      </c>
      <c r="G11" s="80" t="n">
        <f aca="false">C11*F11</f>
        <v>2</v>
      </c>
      <c r="H11" s="80" t="n">
        <f aca="false">D11*F11</f>
        <v>1.5</v>
      </c>
      <c r="I11" s="163" t="n">
        <f aca="false">E11*F11</f>
        <v>10</v>
      </c>
      <c r="J11" s="81" t="n">
        <v>1</v>
      </c>
      <c r="K11" s="82" t="n">
        <f aca="false">E11*J11</f>
        <v>20</v>
      </c>
      <c r="L11" s="83" t="s">
        <v>334</v>
      </c>
    </row>
    <row r="12" customFormat="false" ht="18" hidden="false" customHeight="true" outlineLevel="0" collapsed="false">
      <c r="A12" s="158" t="s">
        <v>174</v>
      </c>
      <c r="B12" s="10" t="s">
        <v>292</v>
      </c>
      <c r="C12" s="70" t="n">
        <v>4</v>
      </c>
      <c r="D12" s="70" t="n">
        <v>3</v>
      </c>
      <c r="E12" s="159" t="n">
        <v>20</v>
      </c>
      <c r="F12" s="72" t="n">
        <v>2.29</v>
      </c>
      <c r="G12" s="73" t="n">
        <f aca="false">C12*F12</f>
        <v>9.16</v>
      </c>
      <c r="H12" s="73" t="n">
        <f aca="false">D12*F12</f>
        <v>6.87</v>
      </c>
      <c r="I12" s="160" t="n">
        <f aca="false">E12*F12</f>
        <v>45.8</v>
      </c>
      <c r="J12" s="74" t="n">
        <v>2.5</v>
      </c>
      <c r="K12" s="75" t="n">
        <f aca="false">E12*J12</f>
        <v>50</v>
      </c>
      <c r="L12" s="76" t="s">
        <v>335</v>
      </c>
    </row>
    <row r="13" customFormat="false" ht="18" hidden="false" customHeight="true" outlineLevel="0" collapsed="false">
      <c r="A13" s="148" t="s">
        <v>174</v>
      </c>
      <c r="B13" s="149" t="s">
        <v>264</v>
      </c>
      <c r="C13" s="150" t="n">
        <v>24</v>
      </c>
      <c r="D13" s="150" t="n">
        <v>18</v>
      </c>
      <c r="E13" s="151" t="n">
        <v>120</v>
      </c>
      <c r="F13" s="152" t="n">
        <v>0.25</v>
      </c>
      <c r="G13" s="153" t="n">
        <f aca="false">C13*F13</f>
        <v>6</v>
      </c>
      <c r="H13" s="153" t="n">
        <f aca="false">D13*F13</f>
        <v>4.5</v>
      </c>
      <c r="I13" s="154" t="n">
        <f aca="false">E13*F13</f>
        <v>30</v>
      </c>
      <c r="J13" s="155" t="n">
        <v>0.5</v>
      </c>
      <c r="K13" s="156" t="n">
        <f aca="false">E13*J13</f>
        <v>60</v>
      </c>
      <c r="L13" s="157" t="s">
        <v>336</v>
      </c>
    </row>
    <row r="14" customFormat="false" ht="18" hidden="false" customHeight="true" outlineLevel="0" collapsed="false">
      <c r="A14" s="158" t="s">
        <v>174</v>
      </c>
      <c r="B14" s="10" t="s">
        <v>184</v>
      </c>
      <c r="C14" s="70" t="n">
        <v>16</v>
      </c>
      <c r="D14" s="70" t="n">
        <v>12</v>
      </c>
      <c r="E14" s="159" t="n">
        <v>80</v>
      </c>
      <c r="F14" s="72" t="n">
        <v>0.75</v>
      </c>
      <c r="G14" s="73" t="n">
        <f aca="false">C14*F14</f>
        <v>12</v>
      </c>
      <c r="H14" s="73" t="n">
        <f aca="false">D14*F14</f>
        <v>9</v>
      </c>
      <c r="I14" s="160" t="n">
        <f aca="false">E14*F14</f>
        <v>60</v>
      </c>
      <c r="J14" s="74" t="n">
        <v>0.7</v>
      </c>
      <c r="K14" s="75" t="n">
        <f aca="false">E14*J14</f>
        <v>56</v>
      </c>
      <c r="L14" s="76" t="s">
        <v>337</v>
      </c>
    </row>
    <row r="15" customFormat="false" ht="18" hidden="false" customHeight="true" outlineLevel="0" collapsed="false">
      <c r="A15" s="143" t="s">
        <v>174</v>
      </c>
      <c r="B15" s="144" t="s">
        <v>212</v>
      </c>
      <c r="C15" s="63" t="n">
        <v>8</v>
      </c>
      <c r="D15" s="63" t="n">
        <v>6</v>
      </c>
      <c r="E15" s="145" t="n">
        <v>40</v>
      </c>
      <c r="F15" s="65" t="n">
        <v>1.49</v>
      </c>
      <c r="G15" s="66" t="n">
        <f aca="false">C15*F15</f>
        <v>11.92</v>
      </c>
      <c r="H15" s="66" t="n">
        <f aca="false">D15*F15</f>
        <v>8.94</v>
      </c>
      <c r="I15" s="146" t="n">
        <f aca="false">E15*F15</f>
        <v>59.6</v>
      </c>
      <c r="J15" s="67" t="n">
        <v>1.15</v>
      </c>
      <c r="K15" s="68" t="n">
        <f aca="false">E15*J15</f>
        <v>46</v>
      </c>
      <c r="L15" s="147" t="s">
        <v>338</v>
      </c>
    </row>
    <row r="16" customFormat="false" ht="18" hidden="false" customHeight="true" outlineLevel="0" collapsed="false">
      <c r="A16" s="158" t="s">
        <v>174</v>
      </c>
      <c r="B16" s="10" t="s">
        <v>300</v>
      </c>
      <c r="C16" s="70" t="n">
        <v>4</v>
      </c>
      <c r="D16" s="70" t="n">
        <v>3</v>
      </c>
      <c r="E16" s="159" t="n">
        <v>20</v>
      </c>
      <c r="F16" s="72" t="n">
        <v>0.98</v>
      </c>
      <c r="G16" s="73" t="n">
        <f aca="false">C16*F16</f>
        <v>3.92</v>
      </c>
      <c r="H16" s="73" t="n">
        <f aca="false">D16*F16</f>
        <v>2.94</v>
      </c>
      <c r="I16" s="160" t="n">
        <f aca="false">E16*F16</f>
        <v>19.6</v>
      </c>
      <c r="J16" s="74" t="n">
        <v>1</v>
      </c>
      <c r="K16" s="75" t="n">
        <f aca="false">E16*J16</f>
        <v>20</v>
      </c>
      <c r="L16" s="76" t="s">
        <v>339</v>
      </c>
    </row>
    <row r="17" customFormat="false" ht="18" hidden="false" customHeight="true" outlineLevel="0" collapsed="false">
      <c r="A17" s="143" t="s">
        <v>174</v>
      </c>
      <c r="B17" s="144" t="s">
        <v>245</v>
      </c>
      <c r="C17" s="63" t="n">
        <v>8</v>
      </c>
      <c r="D17" s="63" t="n">
        <v>12</v>
      </c>
      <c r="E17" s="145" t="n">
        <v>20</v>
      </c>
      <c r="F17" s="65" t="n">
        <v>1.04</v>
      </c>
      <c r="G17" s="66" t="n">
        <f aca="false">C17*F17</f>
        <v>8.32</v>
      </c>
      <c r="H17" s="66" t="n">
        <f aca="false">D17*F17</f>
        <v>12.48</v>
      </c>
      <c r="I17" s="146" t="n">
        <f aca="false">E17*F17</f>
        <v>20.8</v>
      </c>
      <c r="J17" s="67" t="n">
        <v>1.4</v>
      </c>
      <c r="K17" s="68" t="n">
        <f aca="false">E17*J17</f>
        <v>28</v>
      </c>
      <c r="L17" s="147" t="s">
        <v>340</v>
      </c>
    </row>
    <row r="18" customFormat="false" ht="18" hidden="false" customHeight="true" outlineLevel="0" collapsed="false">
      <c r="A18" s="143" t="s">
        <v>174</v>
      </c>
      <c r="B18" s="144" t="s">
        <v>281</v>
      </c>
      <c r="C18" s="63" t="n">
        <v>8</v>
      </c>
      <c r="D18" s="63" t="n">
        <v>12</v>
      </c>
      <c r="E18" s="145" t="n">
        <v>20</v>
      </c>
      <c r="F18" s="65" t="n">
        <v>1.04</v>
      </c>
      <c r="G18" s="66" t="n">
        <f aca="false">C19*F19</f>
        <v>26.28</v>
      </c>
      <c r="H18" s="66" t="n">
        <f aca="false">D19*F19</f>
        <v>19.71</v>
      </c>
      <c r="I18" s="146" t="n">
        <f aca="false">E19*F19</f>
        <v>131.4</v>
      </c>
      <c r="J18" s="67" t="n">
        <v>1.4</v>
      </c>
      <c r="K18" s="68" t="n">
        <f aca="false">E19*J19</f>
        <v>88.8</v>
      </c>
      <c r="L18" s="147" t="s">
        <v>341</v>
      </c>
    </row>
    <row r="19" customFormat="false" ht="18" hidden="false" customHeight="true" outlineLevel="0" collapsed="false">
      <c r="A19" s="148" t="s">
        <v>174</v>
      </c>
      <c r="B19" s="149" t="s">
        <v>249</v>
      </c>
      <c r="C19" s="150" t="n">
        <v>12</v>
      </c>
      <c r="D19" s="150" t="n">
        <v>9</v>
      </c>
      <c r="E19" s="151" t="n">
        <v>60</v>
      </c>
      <c r="F19" s="152" t="n">
        <v>2.19</v>
      </c>
      <c r="G19" s="153" t="n">
        <f aca="false">C20*F20</f>
        <v>10.32</v>
      </c>
      <c r="H19" s="153" t="n">
        <f aca="false">D20*F20</f>
        <v>7.74</v>
      </c>
      <c r="I19" s="154" t="n">
        <f aca="false">E20*F20</f>
        <v>51.6</v>
      </c>
      <c r="J19" s="155" t="n">
        <v>1.48</v>
      </c>
      <c r="K19" s="156" t="n">
        <f aca="false">E20*J20</f>
        <v>96</v>
      </c>
      <c r="L19" s="157" t="s">
        <v>342</v>
      </c>
    </row>
    <row r="20" customFormat="false" ht="18" hidden="false" customHeight="true" outlineLevel="0" collapsed="false">
      <c r="A20" s="143" t="s">
        <v>174</v>
      </c>
      <c r="B20" s="144" t="s">
        <v>294</v>
      </c>
      <c r="C20" s="63" t="n">
        <v>8</v>
      </c>
      <c r="D20" s="63" t="n">
        <v>6</v>
      </c>
      <c r="E20" s="145" t="n">
        <v>40</v>
      </c>
      <c r="F20" s="65" t="n">
        <v>1.29</v>
      </c>
      <c r="G20" s="66" t="n">
        <f aca="false">C21*F21</f>
        <v>8.68</v>
      </c>
      <c r="H20" s="66" t="n">
        <f aca="false">D21*F21</f>
        <v>0</v>
      </c>
      <c r="I20" s="146" t="n">
        <f aca="false">E21*F21</f>
        <v>17.36</v>
      </c>
      <c r="J20" s="67" t="n">
        <v>2.4</v>
      </c>
      <c r="K20" s="68" t="n">
        <f aca="false">E21*J21</f>
        <v>19.2</v>
      </c>
      <c r="L20" s="147" t="s">
        <v>343</v>
      </c>
    </row>
    <row r="21" customFormat="false" ht="18" hidden="false" customHeight="true" outlineLevel="0" collapsed="false">
      <c r="A21" s="143" t="s">
        <v>174</v>
      </c>
      <c r="B21" s="144" t="s">
        <v>287</v>
      </c>
      <c r="C21" s="63" t="n">
        <v>4</v>
      </c>
      <c r="D21" s="63" t="n">
        <v>0</v>
      </c>
      <c r="E21" s="145" t="n">
        <v>8</v>
      </c>
      <c r="F21" s="65" t="n">
        <v>2.17</v>
      </c>
      <c r="G21" s="66" t="n">
        <f aca="false">C22*F22</f>
        <v>5.96</v>
      </c>
      <c r="H21" s="66" t="n">
        <f aca="false">D22*F22</f>
        <v>0</v>
      </c>
      <c r="I21" s="146" t="n">
        <f aca="false">E22*F22</f>
        <v>11.92</v>
      </c>
      <c r="J21" s="67" t="n">
        <v>2.4</v>
      </c>
      <c r="K21" s="68" t="n">
        <f aca="false">E22*J22</f>
        <v>9.2</v>
      </c>
      <c r="L21" s="147" t="s">
        <v>344</v>
      </c>
    </row>
    <row r="22" customFormat="false" ht="18" hidden="false" customHeight="true" outlineLevel="0" collapsed="false">
      <c r="A22" s="143" t="s">
        <v>174</v>
      </c>
      <c r="B22" s="144" t="s">
        <v>345</v>
      </c>
      <c r="C22" s="63" t="n">
        <v>4</v>
      </c>
      <c r="D22" s="63" t="n">
        <v>0</v>
      </c>
      <c r="E22" s="145" t="n">
        <v>8</v>
      </c>
      <c r="F22" s="65" t="n">
        <v>1.49</v>
      </c>
      <c r="G22" s="66" t="n">
        <f aca="false">C23*F23</f>
        <v>0</v>
      </c>
      <c r="H22" s="66" t="n">
        <f aca="false">D23*F23</f>
        <v>2.28</v>
      </c>
      <c r="I22" s="146" t="n">
        <f aca="false">E23*F23</f>
        <v>9.12</v>
      </c>
      <c r="J22" s="67" t="n">
        <v>1.15</v>
      </c>
      <c r="K22" s="68" t="n">
        <f aca="false">E23*J23</f>
        <v>17.52</v>
      </c>
      <c r="L22" s="147" t="s">
        <v>338</v>
      </c>
    </row>
    <row r="23" customFormat="false" ht="18" hidden="false" customHeight="true" outlineLevel="0" collapsed="false">
      <c r="A23" s="148" t="s">
        <v>174</v>
      </c>
      <c r="B23" s="149" t="s">
        <v>198</v>
      </c>
      <c r="C23" s="150" t="n">
        <v>0</v>
      </c>
      <c r="D23" s="150" t="n">
        <v>6</v>
      </c>
      <c r="E23" s="151" t="n">
        <v>24</v>
      </c>
      <c r="F23" s="152" t="n">
        <v>0.38</v>
      </c>
      <c r="G23" s="153" t="n">
        <f aca="false">C24*F24</f>
        <v>6.08</v>
      </c>
      <c r="H23" s="153" t="n">
        <f aca="false">D24*F24</f>
        <v>4.56</v>
      </c>
      <c r="I23" s="154" t="n">
        <f aca="false">E24*F24</f>
        <v>30.4</v>
      </c>
      <c r="J23" s="155" t="n">
        <v>0.73</v>
      </c>
      <c r="K23" s="156" t="n">
        <f aca="false">E24*J24</f>
        <v>98.4</v>
      </c>
      <c r="L23" s="157" t="s">
        <v>346</v>
      </c>
    </row>
    <row r="24" customFormat="false" ht="18" hidden="false" customHeight="true" outlineLevel="0" collapsed="false">
      <c r="A24" s="148" t="s">
        <v>174</v>
      </c>
      <c r="B24" s="149" t="s">
        <v>178</v>
      </c>
      <c r="C24" s="150" t="n">
        <v>16</v>
      </c>
      <c r="D24" s="150" t="n">
        <v>12</v>
      </c>
      <c r="E24" s="151" t="n">
        <v>80</v>
      </c>
      <c r="F24" s="152" t="n">
        <v>0.38</v>
      </c>
      <c r="G24" s="153" t="n">
        <f aca="false">C26*F26</f>
        <v>0</v>
      </c>
      <c r="H24" s="153" t="n">
        <f aca="false">D26*F26</f>
        <v>0</v>
      </c>
      <c r="I24" s="154" t="n">
        <f aca="false">E26*F26</f>
        <v>0</v>
      </c>
      <c r="J24" s="155" t="n">
        <v>1.23</v>
      </c>
      <c r="K24" s="156" t="n">
        <f aca="false">E26*J26</f>
        <v>0</v>
      </c>
      <c r="L24" s="157" t="s">
        <v>347</v>
      </c>
    </row>
    <row r="25" customFormat="false" ht="18" hidden="false" customHeight="true" outlineLevel="0" collapsed="false">
      <c r="A25" s="161" t="s">
        <v>174</v>
      </c>
      <c r="B25" s="164" t="s">
        <v>348</v>
      </c>
      <c r="C25" s="77" t="n">
        <v>2</v>
      </c>
      <c r="D25" s="77" t="n">
        <v>2</v>
      </c>
      <c r="E25" s="77" t="n">
        <v>12</v>
      </c>
      <c r="F25" s="79" t="n">
        <v>4.99</v>
      </c>
      <c r="G25" s="165" t="n">
        <f aca="false">C28*F28</f>
        <v>0</v>
      </c>
      <c r="H25" s="165" t="n">
        <f aca="false">D28*F28</f>
        <v>0</v>
      </c>
      <c r="I25" s="165" t="n">
        <f aca="false">E28*F28</f>
        <v>0</v>
      </c>
      <c r="J25" s="81"/>
      <c r="K25" s="82"/>
      <c r="L25" s="166" t="s">
        <v>349</v>
      </c>
    </row>
    <row r="26" customFormat="false" ht="18" hidden="false" customHeight="true" outlineLevel="0" collapsed="false">
      <c r="A26" s="167" t="s">
        <v>350</v>
      </c>
    </row>
    <row r="27" customFormat="false" ht="18" hidden="false" customHeight="true" outlineLevel="0" collapsed="false">
      <c r="A27" s="143" t="s">
        <v>174</v>
      </c>
      <c r="B27" s="144" t="s">
        <v>351</v>
      </c>
      <c r="C27" s="63" t="n">
        <v>0</v>
      </c>
      <c r="D27" s="63" t="n">
        <v>2</v>
      </c>
      <c r="E27" s="168" t="n">
        <v>2</v>
      </c>
      <c r="F27" s="65" t="n">
        <v>2.4</v>
      </c>
      <c r="G27" s="169" t="n">
        <f aca="false">C30*F30</f>
        <v>0</v>
      </c>
      <c r="H27" s="169" t="n">
        <f aca="false">D30*F30</f>
        <v>3</v>
      </c>
      <c r="I27" s="169" t="n">
        <f aca="false">E30*F30</f>
        <v>3</v>
      </c>
      <c r="J27" s="170"/>
      <c r="K27" s="170"/>
      <c r="L27" s="147" t="s">
        <v>352</v>
      </c>
    </row>
    <row r="28" customFormat="false" ht="18" hidden="false" customHeight="true" outlineLevel="0" collapsed="false">
      <c r="A28" s="143" t="s">
        <v>174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2"/>
    </row>
    <row r="29" customFormat="false" ht="19.5" hidden="false" customHeight="true" outlineLevel="0" collapsed="false">
      <c r="A29" s="143" t="s">
        <v>174</v>
      </c>
      <c r="B29" s="143" t="s">
        <v>353</v>
      </c>
      <c r="C29" s="143" t="n">
        <v>0</v>
      </c>
      <c r="D29" s="143" t="n">
        <v>2</v>
      </c>
      <c r="E29" s="143" t="n">
        <v>2</v>
      </c>
      <c r="F29" s="143" t="n">
        <v>1.29</v>
      </c>
      <c r="G29" s="143" t="n">
        <f aca="false">C32*F32</f>
        <v>4.4</v>
      </c>
      <c r="H29" s="143" t="n">
        <f aca="false">D32*F32</f>
        <v>6.6</v>
      </c>
      <c r="I29" s="143" t="n">
        <f aca="false">E32*F32</f>
        <v>44</v>
      </c>
      <c r="J29" s="143"/>
      <c r="K29" s="143"/>
      <c r="L29" s="143" t="s">
        <v>354</v>
      </c>
    </row>
    <row r="30" customFormat="false" ht="18" hidden="false" customHeight="true" outlineLevel="0" collapsed="false">
      <c r="A30" s="143" t="s">
        <v>174</v>
      </c>
      <c r="B30" s="144" t="s">
        <v>355</v>
      </c>
      <c r="C30" s="63" t="n">
        <v>0</v>
      </c>
      <c r="D30" s="63" t="n">
        <v>2</v>
      </c>
      <c r="E30" s="168" t="n">
        <v>2</v>
      </c>
      <c r="F30" s="65" t="n">
        <v>1.5</v>
      </c>
      <c r="G30" s="169" t="n">
        <f aca="false">C33*F33</f>
        <v>3.6</v>
      </c>
      <c r="H30" s="169" t="n">
        <f aca="false">D33*F33</f>
        <v>5.4</v>
      </c>
      <c r="I30" s="169" t="n">
        <f aca="false">E33*F33</f>
        <v>36</v>
      </c>
      <c r="J30" s="170"/>
      <c r="K30" s="170"/>
      <c r="L30" s="147" t="s">
        <v>356</v>
      </c>
    </row>
    <row r="31" customFormat="false" ht="18" hidden="false" customHeight="true" outlineLevel="0" collapsed="false">
      <c r="A31" s="143" t="s">
        <v>174</v>
      </c>
      <c r="B31" s="144" t="s">
        <v>357</v>
      </c>
      <c r="C31" s="63" t="n">
        <v>0</v>
      </c>
      <c r="D31" s="63" t="n">
        <v>1</v>
      </c>
      <c r="E31" s="168" t="n">
        <v>1</v>
      </c>
      <c r="F31" s="65" t="n">
        <v>1.09</v>
      </c>
      <c r="G31" s="169" t="n">
        <f aca="false">C34*F34</f>
        <v>0</v>
      </c>
      <c r="H31" s="169" t="n">
        <f aca="false">D34*F34</f>
        <v>0</v>
      </c>
      <c r="I31" s="169" t="n">
        <f aca="false">E34*F34</f>
        <v>0</v>
      </c>
      <c r="J31" s="170"/>
      <c r="K31" s="170"/>
      <c r="L31" s="147" t="s">
        <v>358</v>
      </c>
    </row>
    <row r="32" customFormat="false" ht="18" hidden="false" customHeight="true" outlineLevel="0" collapsed="false">
      <c r="A32" s="161" t="s">
        <v>174</v>
      </c>
      <c r="B32" s="164" t="s">
        <v>359</v>
      </c>
      <c r="C32" s="77" t="n">
        <v>8</v>
      </c>
      <c r="D32" s="77" t="n">
        <v>12</v>
      </c>
      <c r="E32" s="77" t="n">
        <v>80</v>
      </c>
      <c r="F32" s="79" t="n">
        <v>0.55</v>
      </c>
      <c r="G32" s="165" t="n">
        <f aca="false">C35*F35</f>
        <v>0</v>
      </c>
      <c r="H32" s="165" t="n">
        <f aca="false">D35*F35</f>
        <v>0</v>
      </c>
      <c r="I32" s="165" t="n">
        <f aca="false">E35*F35</f>
        <v>0</v>
      </c>
      <c r="J32" s="128"/>
      <c r="K32" s="128"/>
      <c r="L32" s="166" t="s">
        <v>360</v>
      </c>
    </row>
    <row r="33" customFormat="false" ht="18" hidden="false" customHeight="true" outlineLevel="0" collapsed="false">
      <c r="A33" s="161" t="s">
        <v>174</v>
      </c>
      <c r="B33" s="164" t="s">
        <v>361</v>
      </c>
      <c r="C33" s="77" t="n">
        <v>8</v>
      </c>
      <c r="D33" s="77" t="n">
        <v>12</v>
      </c>
      <c r="E33" s="77" t="n">
        <v>80</v>
      </c>
      <c r="F33" s="79" t="n">
        <v>0.45</v>
      </c>
      <c r="G33" s="165" t="n">
        <f aca="false">C36*F36</f>
        <v>0</v>
      </c>
      <c r="H33" s="165" t="n">
        <f aca="false">D36*F36</f>
        <v>0</v>
      </c>
      <c r="I33" s="165" t="n">
        <f aca="false">E36*F36</f>
        <v>0</v>
      </c>
      <c r="J33" s="128"/>
      <c r="K33" s="128"/>
      <c r="L33" s="166" t="s">
        <v>362</v>
      </c>
    </row>
    <row r="34" customFormat="false" ht="18" hidden="false" customHeight="true" outlineLevel="0" collapsed="false">
      <c r="A34" s="13" t="s">
        <v>363</v>
      </c>
      <c r="B34" s="88"/>
      <c r="C34" s="88"/>
      <c r="D34" s="88"/>
      <c r="E34" s="88"/>
      <c r="F34" s="88"/>
      <c r="G34" s="88"/>
      <c r="H34" s="173"/>
      <c r="I34" s="174" t="n">
        <f aca="false">SUM(I4:I33)</f>
        <v>1091.4</v>
      </c>
      <c r="J34" s="175"/>
      <c r="K34" s="176" t="n">
        <f aca="false">SUM(K4:K33)</f>
        <v>928.84</v>
      </c>
      <c r="L34" s="175"/>
    </row>
    <row r="35" customFormat="false" ht="18" hidden="false" customHeight="true" outlineLevel="0" collapsed="false">
      <c r="A35" s="87" t="s">
        <v>364</v>
      </c>
      <c r="B35" s="88"/>
      <c r="C35" s="88"/>
      <c r="D35" s="88"/>
      <c r="E35" s="88"/>
      <c r="F35" s="88"/>
      <c r="G35" s="88"/>
      <c r="H35" s="88"/>
      <c r="I35" s="177" t="n">
        <f aca="false">I34/20</f>
        <v>54.57</v>
      </c>
      <c r="J35" s="89"/>
      <c r="K35" s="89"/>
      <c r="L35" s="89"/>
    </row>
    <row r="36" customFormat="false" ht="18" hidden="false" customHeight="true" outlineLevel="0" collapsed="false">
      <c r="A36" s="178" t="s">
        <v>365</v>
      </c>
      <c r="B36" s="88"/>
      <c r="C36" s="88"/>
      <c r="D36" s="88"/>
      <c r="E36" s="88"/>
      <c r="F36" s="88"/>
      <c r="G36" s="88"/>
      <c r="H36" s="88"/>
      <c r="I36" s="179" t="n">
        <f aca="false">I34/6*2</f>
        <v>363.8</v>
      </c>
      <c r="J36" s="180"/>
      <c r="K36" s="180"/>
      <c r="L36" s="180"/>
    </row>
    <row r="37" customFormat="false" ht="18" hidden="false" customHeight="true" outlineLevel="0" collapsed="false">
      <c r="A37" s="181" t="s">
        <v>366</v>
      </c>
      <c r="B37" s="88"/>
      <c r="C37" s="88"/>
      <c r="D37" s="88"/>
      <c r="E37" s="88"/>
      <c r="F37" s="88"/>
      <c r="G37" s="88"/>
      <c r="H37" s="88"/>
      <c r="I37" s="182" t="n">
        <f aca="false">I34/6*4</f>
        <v>727.6</v>
      </c>
      <c r="J37" s="128"/>
      <c r="K37" s="128"/>
      <c r="L37" s="128"/>
    </row>
    <row r="38" customFormat="false" ht="18" hidden="false" customHeight="true" outlineLevel="0" collapsed="false"/>
    <row r="39" customFormat="false" ht="102" hidden="false" customHeight="true" outlineLevel="0" collapsed="false">
      <c r="A39" s="183" t="s">
        <v>367</v>
      </c>
    </row>
    <row r="40" customFormat="false" ht="90.75" hidden="false" customHeight="true" outlineLevel="0" collapsed="false"/>
    <row r="41" customFormat="false" ht="637.5" hidden="false" customHeight="true" outlineLevel="0" collapsed="false"/>
    <row r="42" customFormat="false" ht="102" hidden="false" customHeight="true" outlineLevel="0" collapsed="false"/>
    <row r="43" customFormat="false" ht="637.5" hidden="false" customHeight="true" outlineLevel="0" collapsed="false"/>
    <row r="44" customFormat="false" ht="637.5" hidden="false" customHeight="true" outlineLevel="0" collapsed="false"/>
  </sheetData>
  <mergeCells count="3">
    <mergeCell ref="A1:K1"/>
    <mergeCell ref="A2:K2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38"/>
    <col collapsed="false" customWidth="true" hidden="false" outlineLevel="0" max="6" min="6" style="1" width="42"/>
    <col collapsed="false" customWidth="true" hidden="false" outlineLevel="0" max="7" min="7" style="1" width="8"/>
    <col collapsed="false" customWidth="true" hidden="false" outlineLevel="0" max="8" min="8" style="1" width="30"/>
  </cols>
  <sheetData>
    <row r="1" customFormat="false" ht="27.75" hidden="false" customHeight="true" outlineLevel="0" collapsed="false">
      <c r="A1" s="184" t="s">
        <v>368</v>
      </c>
      <c r="B1" s="184"/>
      <c r="C1" s="184"/>
      <c r="D1" s="184"/>
      <c r="E1" s="184"/>
      <c r="F1" s="184"/>
      <c r="G1" s="184"/>
      <c r="H1" s="184"/>
    </row>
    <row r="2" customFormat="false" ht="13.5" hidden="false" customHeight="true" outlineLevel="0" collapsed="false">
      <c r="A2" s="185" t="s">
        <v>369</v>
      </c>
      <c r="B2" s="185"/>
      <c r="C2" s="185"/>
      <c r="D2" s="185"/>
      <c r="E2" s="185"/>
      <c r="F2" s="185"/>
      <c r="G2" s="185"/>
      <c r="H2" s="185"/>
    </row>
    <row r="3" customFormat="false" ht="7.5" hidden="false" customHeight="true" outlineLevel="0" collapsed="false"/>
    <row r="4" customFormat="false" ht="27.75" hidden="false" customHeight="true" outlineLevel="0" collapsed="false">
      <c r="A4" s="186" t="s">
        <v>31</v>
      </c>
      <c r="B4" s="186" t="s">
        <v>167</v>
      </c>
      <c r="C4" s="186" t="s">
        <v>370</v>
      </c>
      <c r="D4" s="186" t="s">
        <v>371</v>
      </c>
      <c r="E4" s="186" t="s">
        <v>372</v>
      </c>
      <c r="F4" s="186" t="s">
        <v>373</v>
      </c>
      <c r="G4" s="186" t="s">
        <v>374</v>
      </c>
      <c r="H4" s="186" t="s">
        <v>375</v>
      </c>
    </row>
    <row r="5" customFormat="false" ht="21.75" hidden="false" customHeight="true" outlineLevel="0" collapsed="false">
      <c r="A5" s="144" t="s">
        <v>41</v>
      </c>
      <c r="B5" s="62" t="s">
        <v>376</v>
      </c>
      <c r="C5" s="187" t="s">
        <v>175</v>
      </c>
      <c r="D5" s="188" t="s">
        <v>377</v>
      </c>
      <c r="E5" s="189" t="s">
        <v>378</v>
      </c>
      <c r="F5" s="190" t="s">
        <v>379</v>
      </c>
      <c r="G5" s="191" t="n">
        <v>150</v>
      </c>
      <c r="H5" s="190" t="s">
        <v>380</v>
      </c>
    </row>
    <row r="6" customFormat="false" ht="21.75" hidden="false" customHeight="true" outlineLevel="0" collapsed="false">
      <c r="A6" s="144" t="s">
        <v>41</v>
      </c>
      <c r="B6" s="62" t="s">
        <v>376</v>
      </c>
      <c r="C6" s="187" t="s">
        <v>381</v>
      </c>
      <c r="D6" s="188" t="s">
        <v>382</v>
      </c>
      <c r="E6" s="189" t="s">
        <v>383</v>
      </c>
      <c r="F6" s="190" t="s">
        <v>384</v>
      </c>
      <c r="G6" s="191" t="n">
        <v>150</v>
      </c>
      <c r="H6" s="190" t="s">
        <v>380</v>
      </c>
    </row>
    <row r="7" customFormat="false" ht="21.75" hidden="false" customHeight="true" outlineLevel="0" collapsed="false">
      <c r="A7" s="144" t="s">
        <v>41</v>
      </c>
      <c r="B7" s="62" t="s">
        <v>385</v>
      </c>
      <c r="C7" s="187" t="s">
        <v>386</v>
      </c>
      <c r="D7" s="188" t="s">
        <v>387</v>
      </c>
      <c r="E7" s="189" t="s">
        <v>388</v>
      </c>
      <c r="F7" s="190" t="s">
        <v>389</v>
      </c>
      <c r="G7" s="191" t="n">
        <v>160</v>
      </c>
      <c r="H7" s="190" t="s">
        <v>390</v>
      </c>
    </row>
    <row r="8" customFormat="false" ht="21.75" hidden="false" customHeight="true" outlineLevel="0" collapsed="false">
      <c r="A8" s="144" t="s">
        <v>51</v>
      </c>
      <c r="B8" s="62" t="s">
        <v>391</v>
      </c>
      <c r="C8" s="187" t="s">
        <v>392</v>
      </c>
      <c r="D8" s="188" t="s">
        <v>393</v>
      </c>
      <c r="E8" s="189" t="s">
        <v>394</v>
      </c>
      <c r="F8" s="190" t="s">
        <v>395</v>
      </c>
      <c r="G8" s="191" t="n">
        <v>185</v>
      </c>
      <c r="H8" s="190" t="s">
        <v>396</v>
      </c>
    </row>
    <row r="9" customFormat="false" ht="21.75" hidden="false" customHeight="true" outlineLevel="0" collapsed="false">
      <c r="A9" s="144" t="s">
        <v>51</v>
      </c>
      <c r="B9" s="62" t="s">
        <v>376</v>
      </c>
      <c r="C9" s="187" t="s">
        <v>175</v>
      </c>
      <c r="D9" s="188" t="s">
        <v>377</v>
      </c>
      <c r="E9" s="189" t="s">
        <v>397</v>
      </c>
      <c r="F9" s="190" t="s">
        <v>384</v>
      </c>
      <c r="G9" s="191" t="n">
        <v>150</v>
      </c>
      <c r="H9" s="190" t="s">
        <v>380</v>
      </c>
    </row>
    <row r="10" customFormat="false" ht="21.75" hidden="false" customHeight="true" outlineLevel="0" collapsed="false">
      <c r="A10" s="144" t="s">
        <v>51</v>
      </c>
      <c r="B10" s="62" t="s">
        <v>376</v>
      </c>
      <c r="C10" s="187" t="s">
        <v>398</v>
      </c>
      <c r="D10" s="188" t="s">
        <v>399</v>
      </c>
      <c r="E10" s="189" t="s">
        <v>397</v>
      </c>
      <c r="F10" s="190" t="s">
        <v>384</v>
      </c>
      <c r="G10" s="191" t="n">
        <v>150</v>
      </c>
      <c r="H10" s="190" t="s">
        <v>380</v>
      </c>
    </row>
    <row r="11" customFormat="false" ht="21.75" hidden="false" customHeight="true" outlineLevel="0" collapsed="false">
      <c r="A11" s="144" t="s">
        <v>51</v>
      </c>
      <c r="B11" s="62" t="s">
        <v>400</v>
      </c>
      <c r="C11" s="187" t="s">
        <v>211</v>
      </c>
      <c r="D11" s="188" t="s">
        <v>401</v>
      </c>
      <c r="E11" s="189" t="s">
        <v>402</v>
      </c>
      <c r="F11" s="190" t="s">
        <v>403</v>
      </c>
      <c r="G11" s="191" t="n">
        <v>250</v>
      </c>
      <c r="H11" s="190" t="s">
        <v>404</v>
      </c>
    </row>
    <row r="12" customFormat="false" ht="21.75" hidden="false" customHeight="true" outlineLevel="0" collapsed="false">
      <c r="A12" s="144" t="s">
        <v>51</v>
      </c>
      <c r="B12" s="62" t="s">
        <v>400</v>
      </c>
      <c r="C12" s="187" t="s">
        <v>405</v>
      </c>
      <c r="D12" s="188" t="s">
        <v>401</v>
      </c>
      <c r="E12" s="189" t="s">
        <v>406</v>
      </c>
      <c r="F12" s="190" t="s">
        <v>407</v>
      </c>
      <c r="G12" s="191" t="n">
        <v>200</v>
      </c>
      <c r="H12" s="190" t="s">
        <v>408</v>
      </c>
    </row>
    <row r="13" customFormat="false" ht="21.75" hidden="false" customHeight="true" outlineLevel="0" collapsed="false">
      <c r="A13" s="144" t="s">
        <v>51</v>
      </c>
      <c r="B13" s="62" t="s">
        <v>385</v>
      </c>
      <c r="C13" s="187" t="s">
        <v>216</v>
      </c>
      <c r="D13" s="188" t="s">
        <v>377</v>
      </c>
      <c r="E13" s="189" t="s">
        <v>409</v>
      </c>
      <c r="F13" s="190" t="s">
        <v>410</v>
      </c>
      <c r="G13" s="191" t="n">
        <v>160</v>
      </c>
      <c r="H13" s="190" t="s">
        <v>411</v>
      </c>
    </row>
    <row r="14" customFormat="false" ht="21.75" hidden="false" customHeight="true" outlineLevel="0" collapsed="false">
      <c r="A14" s="144" t="s">
        <v>61</v>
      </c>
      <c r="B14" s="62" t="s">
        <v>391</v>
      </c>
      <c r="C14" s="187" t="s">
        <v>412</v>
      </c>
      <c r="D14" s="188" t="s">
        <v>413</v>
      </c>
      <c r="E14" s="189" t="s">
        <v>414</v>
      </c>
      <c r="F14" s="190" t="s">
        <v>415</v>
      </c>
      <c r="G14" s="191" t="n">
        <v>185</v>
      </c>
      <c r="H14" s="190" t="s">
        <v>396</v>
      </c>
    </row>
    <row r="15" customFormat="false" ht="21.75" hidden="false" customHeight="true" outlineLevel="0" collapsed="false">
      <c r="A15" s="144" t="s">
        <v>61</v>
      </c>
      <c r="B15" s="62" t="s">
        <v>376</v>
      </c>
      <c r="C15" s="187" t="s">
        <v>211</v>
      </c>
      <c r="D15" s="188" t="s">
        <v>401</v>
      </c>
      <c r="E15" s="189" t="s">
        <v>402</v>
      </c>
      <c r="F15" s="190" t="s">
        <v>416</v>
      </c>
      <c r="G15" s="191" t="n">
        <v>250</v>
      </c>
      <c r="H15" s="190" t="s">
        <v>417</v>
      </c>
    </row>
    <row r="16" customFormat="false" ht="21.75" hidden="false" customHeight="true" outlineLevel="0" collapsed="false">
      <c r="A16" s="144" t="s">
        <v>61</v>
      </c>
      <c r="B16" s="62" t="s">
        <v>376</v>
      </c>
      <c r="C16" s="187" t="s">
        <v>398</v>
      </c>
      <c r="D16" s="188" t="s">
        <v>399</v>
      </c>
      <c r="E16" s="189" t="s">
        <v>397</v>
      </c>
      <c r="F16" s="190" t="s">
        <v>384</v>
      </c>
      <c r="G16" s="191" t="n">
        <v>150</v>
      </c>
      <c r="H16" s="190" t="s">
        <v>380</v>
      </c>
    </row>
    <row r="17" customFormat="false" ht="21.75" hidden="false" customHeight="true" outlineLevel="0" collapsed="false">
      <c r="A17" s="144" t="s">
        <v>61</v>
      </c>
      <c r="B17" s="62" t="s">
        <v>400</v>
      </c>
      <c r="C17" s="187" t="s">
        <v>405</v>
      </c>
      <c r="D17" s="188" t="s">
        <v>401</v>
      </c>
      <c r="E17" s="189" t="s">
        <v>406</v>
      </c>
      <c r="F17" s="190" t="s">
        <v>416</v>
      </c>
      <c r="G17" s="191" t="n">
        <v>200</v>
      </c>
      <c r="H17" s="190" t="s">
        <v>418</v>
      </c>
    </row>
    <row r="18" customFormat="false" ht="21.75" hidden="false" customHeight="true" outlineLevel="0" collapsed="false">
      <c r="A18" s="192" t="s">
        <v>61</v>
      </c>
      <c r="B18" s="193" t="s">
        <v>376</v>
      </c>
      <c r="C18" s="193" t="s">
        <v>219</v>
      </c>
      <c r="D18" s="194" t="s">
        <v>419</v>
      </c>
      <c r="E18" s="192" t="s">
        <v>420</v>
      </c>
      <c r="F18" s="195" t="s">
        <v>421</v>
      </c>
      <c r="G18" s="196" t="n">
        <v>300</v>
      </c>
      <c r="H18" s="195" t="s">
        <v>422</v>
      </c>
    </row>
    <row r="20" customFormat="false" ht="21.75" hidden="false" customHeight="true" outlineLevel="0" collapsed="false">
      <c r="A20" s="197" t="s">
        <v>423</v>
      </c>
      <c r="B20" s="197"/>
      <c r="C20" s="197"/>
      <c r="D20" s="197"/>
      <c r="E20" s="197"/>
      <c r="F20" s="197"/>
      <c r="G20" s="197"/>
      <c r="H20" s="197"/>
    </row>
    <row r="21" customFormat="false" ht="21.75" hidden="false" customHeight="true" outlineLevel="0" collapsed="false">
      <c r="A21" s="198" t="s">
        <v>31</v>
      </c>
      <c r="B21" s="198" t="s">
        <v>167</v>
      </c>
      <c r="C21" s="198" t="s">
        <v>168</v>
      </c>
      <c r="D21" s="198" t="s">
        <v>11</v>
      </c>
      <c r="E21" s="198"/>
      <c r="F21" s="198"/>
      <c r="G21" s="198"/>
      <c r="H21" s="198"/>
    </row>
    <row r="22" customFormat="false" ht="18" hidden="false" customHeight="true" outlineLevel="0" collapsed="false">
      <c r="A22" s="199" t="s">
        <v>424</v>
      </c>
      <c r="B22" s="200" t="s">
        <v>425</v>
      </c>
      <c r="C22" s="201" t="s">
        <v>426</v>
      </c>
      <c r="D22" s="201"/>
      <c r="E22" s="201"/>
      <c r="F22" s="202" t="s">
        <v>427</v>
      </c>
      <c r="G22" s="202"/>
      <c r="H22" s="202"/>
    </row>
    <row r="23" customFormat="false" ht="18" hidden="false" customHeight="true" outlineLevel="0" collapsed="false">
      <c r="A23" s="203" t="s">
        <v>424</v>
      </c>
      <c r="B23" s="10" t="s">
        <v>425</v>
      </c>
      <c r="C23" s="204" t="s">
        <v>428</v>
      </c>
      <c r="D23" s="204"/>
      <c r="E23" s="204"/>
      <c r="F23" s="205" t="s">
        <v>429</v>
      </c>
      <c r="G23" s="205"/>
      <c r="H23" s="205"/>
    </row>
    <row r="24" customFormat="false" ht="18" hidden="false" customHeight="true" outlineLevel="0" collapsed="false">
      <c r="A24" s="199" t="s">
        <v>41</v>
      </c>
      <c r="B24" s="200" t="s">
        <v>400</v>
      </c>
      <c r="C24" s="201" t="s">
        <v>430</v>
      </c>
      <c r="D24" s="201"/>
      <c r="E24" s="201"/>
      <c r="F24" s="202" t="s">
        <v>429</v>
      </c>
      <c r="G24" s="202"/>
      <c r="H24" s="202"/>
    </row>
    <row r="25" customFormat="false" ht="18" hidden="false" customHeight="true" outlineLevel="0" collapsed="false">
      <c r="A25" s="203" t="s">
        <v>424</v>
      </c>
      <c r="B25" s="10" t="s">
        <v>376</v>
      </c>
      <c r="C25" s="204" t="s">
        <v>177</v>
      </c>
      <c r="D25" s="204"/>
      <c r="E25" s="204"/>
      <c r="F25" s="205" t="s">
        <v>431</v>
      </c>
      <c r="G25" s="205"/>
      <c r="H25" s="205"/>
    </row>
    <row r="26" customFormat="false" ht="18" hidden="false" customHeight="true" outlineLevel="0" collapsed="false">
      <c r="A26" s="199" t="s">
        <v>424</v>
      </c>
      <c r="B26" s="200" t="s">
        <v>376</v>
      </c>
      <c r="C26" s="201" t="s">
        <v>219</v>
      </c>
      <c r="D26" s="201"/>
      <c r="E26" s="201"/>
      <c r="F26" s="202" t="s">
        <v>432</v>
      </c>
      <c r="G26" s="202"/>
      <c r="H26" s="202"/>
    </row>
    <row r="27" customFormat="false" ht="18" hidden="false" customHeight="true" outlineLevel="0" collapsed="false">
      <c r="A27" s="203" t="s">
        <v>424</v>
      </c>
      <c r="B27" s="10" t="s">
        <v>433</v>
      </c>
      <c r="C27" s="204" t="s">
        <v>434</v>
      </c>
      <c r="D27" s="204"/>
      <c r="E27" s="204"/>
      <c r="F27" s="205" t="s">
        <v>429</v>
      </c>
      <c r="G27" s="205"/>
      <c r="H27" s="205"/>
    </row>
    <row r="28" customFormat="false" ht="18" hidden="false" customHeight="true" outlineLevel="0" collapsed="false">
      <c r="A28" s="199" t="s">
        <v>435</v>
      </c>
      <c r="B28" s="200" t="s">
        <v>400</v>
      </c>
      <c r="C28" s="201" t="s">
        <v>292</v>
      </c>
      <c r="D28" s="201"/>
      <c r="E28" s="201"/>
      <c r="F28" s="202" t="s">
        <v>427</v>
      </c>
      <c r="G28" s="202"/>
      <c r="H28" s="202"/>
    </row>
    <row r="30" customFormat="false" ht="19.5" hidden="false" customHeight="true" outlineLevel="0" collapsed="false">
      <c r="A30" s="206" t="s">
        <v>436</v>
      </c>
      <c r="B30" s="206"/>
      <c r="C30" s="206"/>
      <c r="D30" s="206"/>
      <c r="E30" s="206"/>
      <c r="F30" s="206"/>
      <c r="G30" s="206"/>
      <c r="H30" s="206"/>
    </row>
    <row r="31" customFormat="false" ht="21.75" hidden="false" customHeight="true" outlineLevel="0" collapsed="false"/>
    <row r="32" customFormat="false" ht="18" hidden="false" customHeight="true" outlineLevel="0" collapsed="false">
      <c r="E32" s="56"/>
      <c r="F32" s="56"/>
      <c r="G32" s="56"/>
      <c r="H32" s="56"/>
    </row>
    <row r="33" customFormat="false" ht="18" hidden="false" customHeight="true" outlineLevel="0" collapsed="false">
      <c r="E33" s="56"/>
      <c r="F33" s="56"/>
      <c r="G33" s="56"/>
      <c r="H33" s="56"/>
    </row>
    <row r="34" customFormat="false" ht="18" hidden="false" customHeight="true" outlineLevel="0" collapsed="false">
      <c r="E34" s="56"/>
      <c r="F34" s="56"/>
      <c r="G34" s="56"/>
      <c r="H34" s="56"/>
    </row>
    <row r="35" customFormat="false" ht="18" hidden="false" customHeight="true" outlineLevel="0" collapsed="false">
      <c r="E35" s="56"/>
      <c r="F35" s="56"/>
      <c r="G35" s="56"/>
      <c r="H35" s="56"/>
    </row>
    <row r="36" customFormat="false" ht="18" hidden="false" customHeight="true" outlineLevel="0" collapsed="false">
      <c r="E36" s="56"/>
      <c r="F36" s="56"/>
      <c r="G36" s="56"/>
      <c r="H36" s="56"/>
    </row>
    <row r="37" customFormat="false" ht="19.5" hidden="false" customHeight="true" outlineLevel="0" collapsed="false">
      <c r="A37" s="56"/>
      <c r="B37" s="56"/>
      <c r="C37" s="56"/>
      <c r="E37" s="56"/>
      <c r="F37" s="56"/>
      <c r="G37" s="56"/>
      <c r="H37" s="56"/>
    </row>
  </sheetData>
  <mergeCells count="25">
    <mergeCell ref="A1:H1"/>
    <mergeCell ref="A2:H2"/>
    <mergeCell ref="A20:H20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A30:H30"/>
    <mergeCell ref="E32:H32"/>
    <mergeCell ref="E33:H33"/>
    <mergeCell ref="E34:H34"/>
    <mergeCell ref="E35:H35"/>
    <mergeCell ref="E36:H36"/>
    <mergeCell ref="A37:C37"/>
    <mergeCell ref="E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2026-03-20T17:43:11Z</dcterms:created>
  <dc:creator>openpyxl</dc:creator>
  <dc:description/>
  <dc:language>en-US</dc:language>
  <cp:lastModifiedBy/>
  <dcterms:modified xsi:type="dcterms:W3CDTF">2026-03-25T23:18:14Z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
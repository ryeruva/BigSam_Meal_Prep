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eal Plan (Per Bear Can)" sheetId="2" state="visible" r:id="rId2"/>
    <sheet xmlns:r="http://schemas.openxmlformats.org/officeDocument/2006/relationships" name="Packing List" sheetId="3" state="visible" r:id="rId3"/>
    <sheet xmlns:r="http://schemas.openxmlformats.org/officeDocument/2006/relationships" name="Shopping List" sheetId="4" state="visible" r:id="rId4"/>
    <sheet xmlns:r="http://schemas.openxmlformats.org/officeDocument/2006/relationships" name="Nut Allergy — Scout Pa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~&quot;#,##0&quot; kcal&quot;"/>
    <numFmt numFmtId="165" formatCode="&quot;$&quot;#,##0.00"/>
    <numFmt numFmtId="166" formatCode="0.0&quot; lbs&quot;"/>
    <numFmt numFmtId="167" formatCode="#,##0&quot; kcal&quot;"/>
    <numFmt numFmtId="168" formatCode="0.0&quot; oz&quot;"/>
    <numFmt numFmtId="169" formatCode="0.00&quot; oz&quot;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i val="1"/>
      <color rgb="00555555"/>
      <sz val="11"/>
    </font>
    <font>
      <name val="Segoe UI"/>
      <b val="1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color rgb="00FFFFFF"/>
      <sz val="9"/>
    </font>
    <font>
      <name val="Segoe UI"/>
      <b val="1"/>
      <color rgb="00800000"/>
      <sz val="10"/>
    </font>
    <font>
      <name val="Segoe UI"/>
      <b val="1"/>
      <color rgb="00FFFFFF"/>
      <sz val="10"/>
    </font>
    <font>
      <name val="Segoe UI"/>
      <b val="1"/>
      <color rgb="00B35A00"/>
      <sz val="10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9FAFB"/>
        <bgColor rgb="00F9FAFB"/>
      </patternFill>
    </fill>
    <fill>
      <patternFill patternType="solid">
        <fgColor rgb="00E6EEF8"/>
        <bgColor rgb="00E6EEF8"/>
      </patternFill>
    </fill>
    <fill>
      <patternFill patternType="solid">
        <fgColor rgb="00008080"/>
        <bgColor rgb="00008080"/>
      </patternFill>
    </fill>
    <fill>
      <patternFill patternType="solid">
        <fgColor rgb="00FFF2CC"/>
        <bgColor rgb="00FFF2CC"/>
      </patternFill>
    </fill>
    <fill>
      <patternFill patternType="solid">
        <fgColor rgb="00FFE5CC"/>
        <bgColor rgb="00FFE5CC"/>
      </patternFill>
    </fill>
    <fill>
      <patternFill patternType="solid">
        <fgColor rgb="00F2F4F7"/>
        <bgColor rgb="00F2F4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333333"/>
      </bottom>
    </border>
    <border>
      <top style="thin">
        <color rgb="00D3D3D3"/>
      </top>
      <bottom style="double">
        <color rgb="00333333"/>
      </bottom>
    </border>
    <border>
      <top style="medium">
        <color rgb="001B365D"/>
      </top>
      <bottom style="double">
        <color rgb="00333333"/>
      </bottom>
    </border>
    <border>
      <top style="thin">
        <color rgb="00D3D3D3"/>
      </top>
      <bottom style="medium">
        <color rgb="001B365D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167" fontId="7" fillId="6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3" fillId="4" borderId="3" pivotButton="0" quotePrefix="0" xfId="0"/>
    <xf numFmtId="167" fontId="3" fillId="4" borderId="3" pivotButton="0" quotePrefix="0" xfId="0"/>
    <xf numFmtId="165" fontId="3" fillId="4" borderId="3" pivotButton="0" quotePrefix="0" xfId="0"/>
    <xf numFmtId="168" fontId="3" fillId="4" borderId="3" pivotButton="0" quotePrefix="0" xfId="0"/>
    <xf numFmtId="0" fontId="8" fillId="2" borderId="4" pivotButton="0" quotePrefix="0" xfId="0"/>
    <xf numFmtId="167" fontId="8" fillId="2" borderId="4" pivotButton="0" quotePrefix="0" xfId="0"/>
    <xf numFmtId="165" fontId="8" fillId="2" borderId="4" pivotButton="0" quotePrefix="0" xfId="0"/>
    <xf numFmtId="168" fontId="8" fillId="2" borderId="4" pivotButton="0" quotePrefix="0" xfId="0"/>
    <xf numFmtId="0" fontId="3" fillId="4" borderId="5" pivotButton="0" quotePrefix="0" xfId="0"/>
    <xf numFmtId="167" fontId="3" fillId="4" borderId="5" pivotButton="0" quotePrefix="0" xfId="0"/>
    <xf numFmtId="0" fontId="9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right" vertical="center"/>
    </xf>
    <xf numFmtId="165" fontId="9" fillId="7" borderId="1" applyAlignment="1" pivotButton="0" quotePrefix="0" xfId="0">
      <alignment horizontal="right" vertical="center"/>
    </xf>
    <xf numFmtId="168" fontId="9" fillId="7" borderId="1" applyAlignment="1" pivotButton="0" quotePrefix="0" xfId="0">
      <alignment horizontal="right" vertical="center"/>
    </xf>
    <xf numFmtId="0" fontId="4" fillId="5" borderId="0" pivotButton="0" quotePrefix="0" xfId="0"/>
    <xf numFmtId="0" fontId="3" fillId="4" borderId="4" pivotButton="0" quotePrefix="0" xfId="0"/>
    <xf numFmtId="167" fontId="3" fillId="4" borderId="4" pivotButton="0" quotePrefix="0" xfId="0"/>
    <xf numFmtId="165" fontId="3" fillId="4" borderId="4" pivotButton="0" quotePrefix="0" xfId="0"/>
    <xf numFmtId="168" fontId="3" fillId="4" borderId="4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9" fontId="7" fillId="6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169" fontId="5" fillId="3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right" vertical="center"/>
    </xf>
    <xf numFmtId="169" fontId="5" fillId="8" borderId="1" applyAlignment="1" pivotButton="0" quotePrefix="0" xfId="0">
      <alignment horizontal="center" vertical="center"/>
    </xf>
    <xf numFmtId="168" fontId="5" fillId="8" borderId="1" applyAlignment="1" pivotButton="0" quotePrefix="0" xfId="0">
      <alignment horizontal="right" vertical="center"/>
    </xf>
    <xf numFmtId="165" fontId="3" fillId="4" borderId="4" applyAlignment="1" pivotButton="0" quotePrefix="0" xfId="0">
      <alignment horizontal="right" vertical="center"/>
    </xf>
    <xf numFmtId="168" fontId="3" fillId="4" borderId="4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167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6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5" customWidth="1" min="8" max="8"/>
    <col width="28" customWidth="1" min="9" max="9"/>
    <col width="32" customWidth="1" min="10" max="10"/>
  </cols>
  <sheetData>
    <row r="1">
      <c r="A1" s="1" t="inlineStr">
        <is>
          <t>Ohlone Wilderness Trail — Crew Meal Plan  ·  19 People  ·  6 Bear Cans</t>
        </is>
      </c>
    </row>
    <row r="2">
      <c r="A2" s="2" t="inlineStr">
        <is>
          <t>April 4–6, 2026  ·  Fremont → Lake Del Valle  ·  26.4 mi  ·  13 Scouts · 6 Adults  |  3 Scout cans (3 people) · 1 Scout can (4 people) · 2 Adult cans (3 people)</t>
        </is>
      </c>
    </row>
    <row r="3"/>
    <row r="4">
      <c r="A4" s="3" t="inlineStr">
        <is>
          <t>BEAR CAN STRUCTURE</t>
        </is>
      </c>
    </row>
    <row r="5">
      <c r="A5" s="4" t="inlineStr">
        <is>
          <t>Can assignment</t>
        </is>
      </c>
      <c r="B5" s="4" t="inlineStr">
        <is>
          <t>Can 1</t>
        </is>
      </c>
      <c r="C5" s="4" t="inlineStr">
        <is>
          <t>Can 2</t>
        </is>
      </c>
      <c r="D5" s="4" t="inlineStr">
        <is>
          <t>Can 3</t>
        </is>
      </c>
      <c r="E5" s="4" t="inlineStr">
        <is>
          <t>Can 4</t>
        </is>
      </c>
      <c r="F5" s="4" t="inlineStr">
        <is>
          <t>Can 5</t>
        </is>
      </c>
      <c r="G5" s="4" t="inlineStr">
        <is>
          <t>Can 6</t>
        </is>
      </c>
      <c r="H5" s="4" t="inlineStr">
        <is>
          <t>Type</t>
        </is>
      </c>
      <c r="I5" s="4" t="inlineStr">
        <is>
          <t>People</t>
        </is>
      </c>
      <c r="J5" s="4" t="inlineStr">
        <is>
          <t>Notes</t>
        </is>
      </c>
    </row>
    <row r="6">
      <c r="A6" s="5" t="inlineStr">
        <is>
          <t>Can assignment</t>
        </is>
      </c>
      <c r="B6" s="6" t="inlineStr">
        <is>
          <t>Scout Can 1</t>
        </is>
      </c>
      <c r="C6" s="6" t="inlineStr">
        <is>
          <t>Scout Can 2</t>
        </is>
      </c>
      <c r="D6" s="6" t="inlineStr">
        <is>
          <t>Scout Can 3</t>
        </is>
      </c>
      <c r="E6" s="6" t="inlineStr">
        <is>
          <t>Scout Can 4</t>
        </is>
      </c>
      <c r="F6" s="6" t="inlineStr">
        <is>
          <t>Adult Can 1</t>
        </is>
      </c>
      <c r="G6" s="6" t="inlineStr">
        <is>
          <t>Adult Can 2</t>
        </is>
      </c>
      <c r="H6" s="6" t="inlineStr"/>
      <c r="I6" s="6" t="inlineStr"/>
      <c r="J6" s="7" t="inlineStr">
        <is>
          <t>4 scout cans + 2 adult cans</t>
        </is>
      </c>
    </row>
    <row r="7">
      <c r="A7" s="8" t="inlineStr">
        <is>
          <t>People per can</t>
        </is>
      </c>
      <c r="B7" s="9" t="inlineStr">
        <is>
          <t>3 scouts</t>
        </is>
      </c>
      <c r="C7" s="9" t="inlineStr">
        <is>
          <t>3 scouts</t>
        </is>
      </c>
      <c r="D7" s="9" t="inlineStr">
        <is>
          <t>3 scouts</t>
        </is>
      </c>
      <c r="E7" s="9" t="inlineStr">
        <is>
          <t>4 scouts</t>
        </is>
      </c>
      <c r="F7" s="9" t="inlineStr">
        <is>
          <t>3 adults</t>
        </is>
      </c>
      <c r="G7" s="9" t="inlineStr">
        <is>
          <t>3 adults</t>
        </is>
      </c>
      <c r="H7" s="9" t="inlineStr"/>
      <c r="I7" s="9" t="inlineStr"/>
      <c r="J7" s="10" t="inlineStr">
        <is>
          <t>Scouts: 3, 3, 3, 4 · Adults: 3, 3</t>
        </is>
      </c>
    </row>
    <row r="8">
      <c r="A8" s="5" t="inlineStr">
        <is>
          <t>Hot drink</t>
        </is>
      </c>
      <c r="B8" s="6" t="inlineStr">
        <is>
          <t>Swiss Miss</t>
        </is>
      </c>
      <c r="C8" s="6" t="inlineStr">
        <is>
          <t>Swiss Miss</t>
        </is>
      </c>
      <c r="D8" s="6" t="inlineStr">
        <is>
          <t>Swiss Miss</t>
        </is>
      </c>
      <c r="E8" s="6" t="inlineStr">
        <is>
          <t>Swiss Miss</t>
        </is>
      </c>
      <c r="F8" s="6" t="inlineStr">
        <is>
          <t>own coffee</t>
        </is>
      </c>
      <c r="G8" s="6" t="inlineStr">
        <is>
          <t>own coffee</t>
        </is>
      </c>
      <c r="H8" s="6" t="inlineStr"/>
      <c r="I8" s="6" t="inlineStr"/>
      <c r="J8" s="7" t="inlineStr">
        <is>
          <t>Scouts: Swiss Miss · Adults: own coffee/tea</t>
        </is>
      </c>
    </row>
    <row r="9">
      <c r="A9" s="8" t="inlineStr">
        <is>
          <t>Cooks for</t>
        </is>
      </c>
      <c r="B9" s="9" t="inlineStr">
        <is>
          <t>Themselves</t>
        </is>
      </c>
      <c r="C9" s="9" t="inlineStr">
        <is>
          <t>Themselves</t>
        </is>
      </c>
      <c r="D9" s="9" t="inlineStr">
        <is>
          <t>Themselves</t>
        </is>
      </c>
      <c r="E9" s="9" t="inlineStr">
        <is>
          <t>Themselves</t>
        </is>
      </c>
      <c r="F9" s="9" t="inlineStr">
        <is>
          <t>Themselves</t>
        </is>
      </c>
      <c r="G9" s="9" t="inlineStr">
        <is>
          <t>Themselves</t>
        </is>
      </c>
      <c r="H9" s="9" t="inlineStr"/>
      <c r="I9" s="9" t="inlineStr"/>
      <c r="J9" s="10" t="inlineStr">
        <is>
          <t>Each bear can group cooks independently</t>
        </is>
      </c>
    </row>
    <row r="10"/>
    <row r="11">
      <c r="A11" s="3" t="inlineStr">
        <is>
          <t>TRIP SCHEDULE</t>
        </is>
      </c>
    </row>
    <row r="12">
      <c r="A12" s="4" t="inlineStr">
        <is>
          <t>Day</t>
        </is>
      </c>
      <c r="B12" s="4" t="inlineStr">
        <is>
          <t>Date</t>
        </is>
      </c>
      <c r="C12" s="4" t="inlineStr">
        <is>
          <t>Route</t>
        </is>
      </c>
      <c r="D12" s="4" t="inlineStr">
        <is>
          <t>Miles</t>
        </is>
      </c>
      <c r="E12" s="4" t="inlineStr">
        <is>
          <t>Gain</t>
        </is>
      </c>
      <c r="F12" s="4" t="inlineStr">
        <is>
          <t>Loss</t>
        </is>
      </c>
      <c r="G12" s="4" t="inlineStr">
        <is>
          <t>Camp</t>
        </is>
      </c>
      <c r="H12" s="4" t="inlineStr">
        <is>
          <t>Meals</t>
        </is>
      </c>
      <c r="I12" s="4" t="inlineStr">
        <is>
          <t>Water</t>
        </is>
      </c>
      <c r="J12" s="4" t="inlineStr">
        <is>
          <t>Notes</t>
        </is>
      </c>
    </row>
    <row r="13">
      <c r="A13" s="11" t="inlineStr">
        <is>
          <t>Day 1</t>
        </is>
      </c>
      <c r="B13" s="9" t="inlineStr">
        <is>
          <t>Sat Apr 4</t>
        </is>
      </c>
      <c r="C13" s="10" t="inlineStr">
        <is>
          <t>Trailhead → Star's Rest</t>
        </is>
      </c>
      <c r="D13" s="9" t="inlineStr">
        <is>
          <t>10.92 mi</t>
        </is>
      </c>
      <c r="E13" s="9" t="inlineStr">
        <is>
          <t>+3,474 ft</t>
        </is>
      </c>
      <c r="F13" s="9" t="inlineStr">
        <is>
          <t>−2,272 ft</t>
        </is>
      </c>
      <c r="G13" s="9" t="inlineStr">
        <is>
          <t>Star's Rest</t>
        </is>
      </c>
      <c r="H13" s="9" t="inlineStr">
        <is>
          <t>Snacks · Lunch · Dinner · Dessert</t>
        </is>
      </c>
      <c r="I13" s="9" t="inlineStr">
        <is>
          <t>Creek (filter)</t>
        </is>
      </c>
      <c r="J13" s="10" t="inlineStr">
        <is>
          <t>Eat breakfast before leaving car</t>
        </is>
      </c>
    </row>
    <row r="14">
      <c r="A14" s="12" t="inlineStr">
        <is>
          <t>Day 2</t>
        </is>
      </c>
      <c r="B14" s="6" t="inlineStr">
        <is>
          <t>Sun Apr 5</t>
        </is>
      </c>
      <c r="C14" s="7" t="inlineStr">
        <is>
          <t>Star's Rest → Maggie's Half Acre</t>
        </is>
      </c>
      <c r="D14" s="6" t="inlineStr">
        <is>
          <t>5.82 mi</t>
        </is>
      </c>
      <c r="E14" s="6" t="inlineStr">
        <is>
          <t>+2,316 ft</t>
        </is>
      </c>
      <c r="F14" s="6" t="inlineStr">
        <is>
          <t>−410 ft</t>
        </is>
      </c>
      <c r="G14" s="6" t="inlineStr">
        <is>
          <t>Maggie's Half Acre</t>
        </is>
      </c>
      <c r="H14" s="6" t="inlineStr">
        <is>
          <t>Bkfst · Snacks · Lunch · Dinner · Dessert</t>
        </is>
      </c>
      <c r="I14" s="6" t="inlineStr">
        <is>
          <t>Dry ridge — fill at camp</t>
        </is>
      </c>
      <c r="J14" s="7" t="inlineStr">
        <is>
          <t>Hardest climb day; cattle on trail</t>
        </is>
      </c>
    </row>
    <row r="15">
      <c r="A15" s="11" t="inlineStr">
        <is>
          <t>Day 3</t>
        </is>
      </c>
      <c r="B15" s="9" t="inlineStr">
        <is>
          <t>Mon Apr 6</t>
        </is>
      </c>
      <c r="C15" s="10" t="inlineStr">
        <is>
          <t>Maggie's Half Acre → Lake Del Valle</t>
        </is>
      </c>
      <c r="D15" s="9" t="inlineStr">
        <is>
          <t>9.69 mi</t>
        </is>
      </c>
      <c r="E15" s="9" t="inlineStr">
        <is>
          <t>+1,514 ft</t>
        </is>
      </c>
      <c r="F15" s="9" t="inlineStr">
        <is>
          <t>−4,249 ft</t>
        </is>
      </c>
      <c r="G15" s="9" t="inlineStr">
        <is>
          <t>Exit — Del Valle</t>
        </is>
      </c>
      <c r="H15" s="9" t="inlineStr">
        <is>
          <t>Bkfst · Snacks · Lunch</t>
        </is>
      </c>
      <c r="I15" s="9" t="inlineStr">
        <is>
          <t>Tap at park</t>
        </is>
      </c>
      <c r="J15" s="10" t="inlineStr">
        <is>
          <t>Mostly downhill; celebrate at Del Valle</t>
        </is>
      </c>
    </row>
    <row r="16">
      <c r="A16" s="13" t="inlineStr">
        <is>
          <t>TOTALS</t>
        </is>
      </c>
      <c r="B16" s="13" t="inlineStr"/>
      <c r="C16" s="14" t="inlineStr"/>
      <c r="D16" s="13" t="inlineStr">
        <is>
          <t>26.43 mi</t>
        </is>
      </c>
      <c r="E16" s="13" t="inlineStr">
        <is>
          <t>+7,304 ft</t>
        </is>
      </c>
      <c r="F16" s="13" t="inlineStr">
        <is>
          <t>−6,931 ft</t>
        </is>
      </c>
      <c r="G16" s="13" t="inlineStr"/>
      <c r="H16" s="13" t="inlineStr"/>
      <c r="I16" s="13" t="inlineStr"/>
      <c r="J16" s="14" t="inlineStr"/>
    </row>
    <row r="17"/>
    <row r="18">
      <c r="A18" s="3" t="inlineStr">
        <is>
          <t>CALORIE OVERVIEW (per person)</t>
        </is>
      </c>
    </row>
    <row r="19">
      <c r="A19" s="15" t="inlineStr"/>
      <c r="B19" s="15" t="inlineStr">
        <is>
          <t>Scouts</t>
        </is>
      </c>
      <c r="C19" s="15" t="inlineStr">
        <is>
          <t>Adults</t>
        </is>
      </c>
      <c r="D19" s="15" t="inlineStr">
        <is>
          <t>Notes</t>
        </is>
      </c>
    </row>
    <row r="20">
      <c r="A20" s="5" t="inlineStr">
        <is>
          <t>Target (full active day)</t>
        </is>
      </c>
      <c r="B20" s="6" t="inlineStr">
        <is>
          <t>~2,750 kcal</t>
        </is>
      </c>
      <c r="C20" s="6" t="inlineStr">
        <is>
          <t>~3,750 kcal</t>
        </is>
      </c>
      <c r="D20" s="7" t="inlineStr">
        <is>
          <t>Sunday is the only full active day</t>
        </is>
      </c>
    </row>
    <row r="21">
      <c r="A21" s="8" t="inlineStr">
        <is>
          <t>Sat Apr 4 delivered</t>
        </is>
      </c>
      <c r="B21" s="16">
        <f>'Meal Plan (Per Bear Can)'!F39</f>
        <v/>
      </c>
      <c r="C21" s="16">
        <f>'Meal Plan (Per Bear Can)'!H39</f>
        <v/>
      </c>
      <c r="D21" s="10" t="inlineStr">
        <is>
          <t>Snacks + Lunch + Dinner + Dessert (no breakfast carried)</t>
        </is>
      </c>
    </row>
    <row r="22">
      <c r="A22" s="5" t="inlineStr">
        <is>
          <t>Sun Apr 5 delivered</t>
        </is>
      </c>
      <c r="B22" s="17">
        <f>'Meal Plan (Per Bear Can)'!F89</f>
        <v/>
      </c>
      <c r="C22" s="17">
        <f>'Meal Plan (Per Bear Can)'!H89</f>
        <v/>
      </c>
      <c r="D22" s="7" t="inlineStr">
        <is>
          <t>Bkfst + Snacks (incl. adult supplement) + Lunch + Dinner + Dessert</t>
        </is>
      </c>
    </row>
    <row r="23">
      <c r="A23" s="8" t="inlineStr">
        <is>
          <t>Mon Apr 6 delivered</t>
        </is>
      </c>
      <c r="B23" s="16">
        <f>'Meal Plan (Per Bear Can)'!F114</f>
        <v/>
      </c>
      <c r="C23" s="16">
        <f>'Meal Plan (Per Bear Can)'!H114</f>
        <v/>
      </c>
      <c r="D23" s="10" t="inlineStr">
        <is>
          <t>Bkfst + Snacks + Lunch</t>
        </is>
      </c>
    </row>
    <row r="24">
      <c r="A24" s="14" t="inlineStr">
        <is>
          <t>TRIP TOTAL</t>
        </is>
      </c>
      <c r="B24" s="18">
        <f>'Meal Plan (Per Bear Can)'!F118</f>
        <v/>
      </c>
      <c r="C24" s="18">
        <f>'Meal Plan (Per Bear Can)'!H118</f>
        <v/>
      </c>
      <c r="D24" s="14" t="inlineStr">
        <is>
          <t>3 days combined per person</t>
        </is>
      </c>
    </row>
    <row r="25"/>
    <row r="26">
      <c r="A26" s="3" t="inlineStr">
        <is>
          <t>BUDGET &amp; WEIGHT OVERVIEW</t>
        </is>
      </c>
    </row>
    <row r="27">
      <c r="A27" s="15" t="inlineStr"/>
      <c r="B27" s="15" t="inlineStr">
        <is>
          <t>Adult Can (3 ppl) (×2)</t>
        </is>
      </c>
      <c r="C27" s="15" t="inlineStr">
        <is>
          <t>Scout Can (3 ppl) (×3)</t>
        </is>
      </c>
      <c r="D27" s="15" t="inlineStr">
        <is>
          <t>Scout Can (4 ppl) (×1)</t>
        </is>
      </c>
      <c r="E27" s="15" t="inlineStr">
        <is>
          <t>Group Total</t>
        </is>
      </c>
      <c r="F27" s="15" t="inlineStr">
        <is>
          <t>Notes</t>
        </is>
      </c>
    </row>
    <row r="28">
      <c r="A28" s="5" t="inlineStr">
        <is>
          <t>Estimated food cost</t>
        </is>
      </c>
      <c r="B28" s="19">
        <f>SUM('Shopping List'!J$4:J$31)</f>
        <v/>
      </c>
      <c r="C28" s="19">
        <f>SUM('Shopping List'!H$4:H$31)</f>
        <v/>
      </c>
      <c r="D28" s="19">
        <f>SUM('Shopping List'!I$4:I$31)</f>
        <v/>
      </c>
      <c r="E28" s="20">
        <f>SUM('Shopping List'!K$4:K$31)</f>
        <v/>
      </c>
      <c r="F28" s="7" t="inlineStr">
        <is>
          <t>Bulk prices (Costco/Amazon)</t>
        </is>
      </c>
    </row>
    <row r="29">
      <c r="A29" s="8" t="inlineStr">
        <is>
          <t>Per person</t>
        </is>
      </c>
      <c r="B29" s="21">
        <f>B28/3</f>
        <v/>
      </c>
      <c r="C29" s="21">
        <f>C28/3</f>
        <v/>
      </c>
      <c r="D29" s="21">
        <f>D28/4</f>
        <v/>
      </c>
      <c r="E29" s="22">
        <f>E28/19</f>
        <v/>
      </c>
      <c r="F29" s="10" t="inlineStr">
        <is>
          <t>Averaged across group</t>
        </is>
      </c>
    </row>
    <row r="30">
      <c r="A30" s="5" t="inlineStr">
        <is>
          <t>Food weight (dry)</t>
        </is>
      </c>
      <c r="B30" s="23">
        <f>SUMPRODUCT('Shopping List'!L$4:L$31,'Shopping List'!E$4:E$31)/16</f>
        <v/>
      </c>
      <c r="C30" s="23">
        <f>SUMPRODUCT('Shopping List'!L$4:L$31,'Shopping List'!C$4:C$31)/16</f>
        <v/>
      </c>
      <c r="D30" s="23">
        <f>SUMPRODUCT('Shopping List'!L$4:L$31,'Shopping List'!D$4:D$31)/16</f>
        <v/>
      </c>
      <c r="E30" s="24">
        <f>SUM('Shopping List'!M$4:M$31)/16</f>
        <v/>
      </c>
      <c r="F30" s="7" t="inlineStr">
        <is>
          <t>Dry food weight in lbs</t>
        </is>
      </c>
    </row>
    <row r="31"/>
    <row r="32">
      <c r="A32" s="3" t="inlineStr">
        <is>
          <t>WATER &amp; SAFETY INFORMATION</t>
        </is>
      </c>
    </row>
    <row r="33">
      <c r="A33" s="4" t="inlineStr">
        <is>
          <t>Location</t>
        </is>
      </c>
      <c r="B33" s="4" t="inlineStr">
        <is>
          <t>Source</t>
        </is>
      </c>
      <c r="C33" s="4" t="inlineStr">
        <is>
          <t>Reliability</t>
        </is>
      </c>
      <c r="D33" s="4" t="inlineStr">
        <is>
          <t>Required Action</t>
        </is>
      </c>
    </row>
    <row r="34">
      <c r="A34" s="7" t="inlineStr">
        <is>
          <t>Trailhead (Fremont)</t>
        </is>
      </c>
      <c r="B34" s="7" t="inlineStr">
        <is>
          <t>Tap / car fill</t>
        </is>
      </c>
      <c r="C34" s="7" t="inlineStr">
        <is>
          <t>Reliable</t>
        </is>
      </c>
      <c r="D34" s="7" t="inlineStr">
        <is>
          <t>Fill ALL bottles. Carry 2-3 L per person.</t>
        </is>
      </c>
    </row>
    <row r="35">
      <c r="A35" s="10" t="inlineStr">
        <is>
          <t>Star's Rest Camp</t>
        </is>
      </c>
      <c r="B35" s="10" t="inlineStr">
        <is>
          <t>Seasonal creek</t>
        </is>
      </c>
      <c r="C35" s="10" t="inlineStr">
        <is>
          <t>Usually present</t>
        </is>
      </c>
      <c r="D35" s="10" t="inlineStr">
        <is>
          <t>Filter before use. Refill fully before leaving.</t>
        </is>
      </c>
    </row>
    <row r="36">
      <c r="A36" s="7" t="inlineStr">
        <is>
          <t>Day 2 Ridgeline</t>
        </is>
      </c>
      <c r="B36" s="7" t="inlineStr">
        <is>
          <t>None</t>
        </is>
      </c>
      <c r="C36" s="7" t="inlineStr">
        <is>
          <t>⚠ DRY</t>
        </is>
      </c>
      <c r="D36" s="7" t="inlineStr">
        <is>
          <t>No water on ridge. Must carry enough from camp.</t>
        </is>
      </c>
    </row>
    <row r="37">
      <c r="A37" s="10" t="inlineStr">
        <is>
          <t>Maggie's Half Acre</t>
        </is>
      </c>
      <c r="B37" s="10" t="inlineStr">
        <is>
          <t>Seasonal creek</t>
        </is>
      </c>
      <c r="C37" s="10" t="inlineStr">
        <is>
          <t>Usually present</t>
        </is>
      </c>
      <c r="D37" s="10" t="inlineStr">
        <is>
          <t>Filter before use. Refill fully before bed.</t>
        </is>
      </c>
    </row>
    <row r="38">
      <c r="A38" s="7" t="inlineStr">
        <is>
          <t>Del Valle (exit)</t>
        </is>
      </c>
      <c r="B38" s="7" t="inlineStr">
        <is>
          <t>Park tap</t>
        </is>
      </c>
      <c r="C38" s="7" t="inlineStr">
        <is>
          <t>Reliable</t>
        </is>
      </c>
      <c r="D38" s="7" t="inlineStr">
        <is>
          <t>Refill at the end of the trail.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28" customWidth="1" min="6" max="6"/>
    <col width="28" customWidth="1" min="7" max="7"/>
    <col width="28" customWidth="1" min="8" max="8"/>
    <col width="10" customWidth="1" min="9" max="9"/>
    <col width="28" customWidth="1" min="10" max="10"/>
    <col width="28" customWidth="1" min="11" max="11"/>
    <col width="28" customWidth="1" min="12" max="12"/>
    <col width="11" customWidth="1" min="13" max="13"/>
    <col width="28" customWidth="1" min="14" max="14"/>
    <col width="28" customWidth="1" min="15" max="15"/>
    <col width="28" customWidth="1" min="16" max="16"/>
    <col width="45" customWidth="1" min="17" max="17"/>
  </cols>
  <sheetData>
    <row r="1">
      <c r="A1" s="1" t="inlineStr">
        <is>
          <t>Meal Plan — Quantities &amp; Nutritional Breakdown Per Bear Can Type</t>
        </is>
      </c>
    </row>
    <row r="2">
      <c r="A2" s="2" t="inlineStr">
        <is>
          <t>Calculated for: Scout Can (3 people), Scout Can (4 people), and Adult Can (3 people)  |  ⚠ Highlighted = Contains Nuts (swap for allergy scout)</t>
        </is>
      </c>
    </row>
    <row r="3"/>
    <row r="4" ht="24" customHeight="1">
      <c r="A4" s="25" t="inlineStr">
        <is>
          <t>SAT APR 4 — BREAKFAST (Eaten at home before driving to trailhead)</t>
        </is>
      </c>
    </row>
    <row r="5" ht="24" customHeight="1">
      <c r="A5" s="26" t="inlineStr">
        <is>
          <t>SAT APR 4 — SNACKS (Handed out at trailhead)</t>
        </is>
      </c>
    </row>
    <row r="6" ht="30" customHeight="1">
      <c r="A6" s="27" t="inlineStr">
        <is>
          <t>Food Item</t>
        </is>
      </c>
      <c r="B6" s="27" t="inlineStr">
        <is>
          <t>Qty
(Scout 3)</t>
        </is>
      </c>
      <c r="C6" s="27" t="inlineStr">
        <is>
          <t>Qty
(Scout 4)</t>
        </is>
      </c>
      <c r="D6" s="27" t="inlineStr">
        <is>
          <t>Qty
(Adult 3)</t>
        </is>
      </c>
      <c r="E6" s="27" t="inlineStr">
        <is>
          <t>kcal/unit</t>
        </is>
      </c>
      <c r="F6" s="27" t="inlineStr">
        <is>
          <t>Scout 3
kcal</t>
        </is>
      </c>
      <c r="G6" s="27" t="inlineStr">
        <is>
          <t>Scout 4
kcal</t>
        </is>
      </c>
      <c r="H6" s="27" t="inlineStr">
        <is>
          <t>Adult 3
kcal</t>
        </is>
      </c>
      <c r="I6" s="27" t="inlineStr">
        <is>
          <t>$/unit</t>
        </is>
      </c>
      <c r="J6" s="27" t="inlineStr">
        <is>
          <t>Scout 3
$</t>
        </is>
      </c>
      <c r="K6" s="27" t="inlineStr">
        <is>
          <t>Scout 4
$</t>
        </is>
      </c>
      <c r="L6" s="27" t="inlineStr">
        <is>
          <t>Adult 3
$</t>
        </is>
      </c>
      <c r="M6" s="27" t="inlineStr">
        <is>
          <t>oz/unit</t>
        </is>
      </c>
      <c r="N6" s="27" t="inlineStr">
        <is>
          <t>Scout 3
oz</t>
        </is>
      </c>
      <c r="O6" s="27" t="inlineStr">
        <is>
          <t>Scout 4
oz</t>
        </is>
      </c>
      <c r="P6" s="27" t="inlineStr">
        <is>
          <t>Adult 3
oz</t>
        </is>
      </c>
      <c r="Q6" s="27" t="inlineStr">
        <is>
          <t>Notes</t>
        </is>
      </c>
    </row>
    <row r="7">
      <c r="A7" s="28" t="inlineStr">
        <is>
          <t>Kind – Peanut Butter Dark Chocolate Bar</t>
        </is>
      </c>
      <c r="B7" s="29" t="n">
        <v>3</v>
      </c>
      <c r="C7" s="29" t="n">
        <v>4</v>
      </c>
      <c r="D7" s="29" t="n">
        <v>3</v>
      </c>
      <c r="E7" s="29" t="n">
        <v>200</v>
      </c>
      <c r="F7" s="30">
        <f>B7*E7</f>
        <v/>
      </c>
      <c r="G7" s="30">
        <f>C7*E7</f>
        <v/>
      </c>
      <c r="H7" s="30">
        <f>D7*E7</f>
        <v/>
      </c>
      <c r="I7" s="31" t="n">
        <v>1.04</v>
      </c>
      <c r="J7" s="31">
        <f>B7*I7</f>
        <v/>
      </c>
      <c r="K7" s="31">
        <f>C7*I7</f>
        <v/>
      </c>
      <c r="L7" s="31">
        <f>D7*I7</f>
        <v/>
      </c>
      <c r="M7" s="29" t="n">
        <v>1.4</v>
      </c>
      <c r="N7" s="32">
        <f>B7*M7</f>
        <v/>
      </c>
      <c r="O7" s="32">
        <f>C7*M7</f>
        <v/>
      </c>
      <c r="P7" s="32">
        <f>D7*M7</f>
        <v/>
      </c>
      <c r="Q7" s="28" t="inlineStr">
        <is>
          <t>⚠ NUT: swap → 88 Acres bar for allergy scout</t>
        </is>
      </c>
    </row>
    <row r="8">
      <c r="A8" s="28" t="inlineStr">
        <is>
          <t>Kind – Caramel Almond &amp; Peanut Bar</t>
        </is>
      </c>
      <c r="B8" s="29" t="n">
        <v>3</v>
      </c>
      <c r="C8" s="29" t="n">
        <v>4</v>
      </c>
      <c r="D8" s="29" t="n">
        <v>3</v>
      </c>
      <c r="E8" s="29" t="n">
        <v>180</v>
      </c>
      <c r="F8" s="30">
        <f>B8*E8</f>
        <v/>
      </c>
      <c r="G8" s="30">
        <f>C8*E8</f>
        <v/>
      </c>
      <c r="H8" s="30">
        <f>D8*E8</f>
        <v/>
      </c>
      <c r="I8" s="31" t="n">
        <v>1.59</v>
      </c>
      <c r="J8" s="31">
        <f>B8*I8</f>
        <v/>
      </c>
      <c r="K8" s="31">
        <f>C8*I8</f>
        <v/>
      </c>
      <c r="L8" s="31">
        <f>D8*I8</f>
        <v/>
      </c>
      <c r="M8" s="29" t="n">
        <v>1.4</v>
      </c>
      <c r="N8" s="32">
        <f>B8*M8</f>
        <v/>
      </c>
      <c r="O8" s="32">
        <f>C8*M8</f>
        <v/>
      </c>
      <c r="P8" s="32">
        <f>D8*M8</f>
        <v/>
      </c>
      <c r="Q8" s="28" t="inlineStr">
        <is>
          <t>⚠ NUT: swap → 88 Acres bar for allergy scout</t>
        </is>
      </c>
    </row>
    <row r="9">
      <c r="A9" s="10" t="inlineStr">
        <is>
          <t>Krave Sea Salt Original Beef Jerky</t>
        </is>
      </c>
      <c r="B9" s="9" t="n">
        <v>3</v>
      </c>
      <c r="C9" s="9" t="n">
        <v>4</v>
      </c>
      <c r="D9" s="9" t="n">
        <v>3</v>
      </c>
      <c r="E9" s="9" t="n">
        <v>140</v>
      </c>
      <c r="F9" s="33">
        <f>B9*E9</f>
        <v/>
      </c>
      <c r="G9" s="33">
        <f>C9*E9</f>
        <v/>
      </c>
      <c r="H9" s="33">
        <f>D9*E9</f>
        <v/>
      </c>
      <c r="I9" s="34" t="n">
        <v>2.19</v>
      </c>
      <c r="J9" s="34">
        <f>B9*I9</f>
        <v/>
      </c>
      <c r="K9" s="34">
        <f>C9*I9</f>
        <v/>
      </c>
      <c r="L9" s="34">
        <f>D9*I9</f>
        <v/>
      </c>
      <c r="M9" s="9" t="n">
        <v>1.48</v>
      </c>
      <c r="N9" s="35">
        <f>B9*M9</f>
        <v/>
      </c>
      <c r="O9" s="35">
        <f>C9*M9</f>
        <v/>
      </c>
      <c r="P9" s="35">
        <f>D9*M9</f>
        <v/>
      </c>
      <c r="Q9" s="10" t="inlineStr">
        <is>
          <t>Safe for nut allergy ✓</t>
        </is>
      </c>
    </row>
    <row r="10">
      <c r="A10" s="7" t="inlineStr">
        <is>
          <t>Gatorade Powder Pack</t>
        </is>
      </c>
      <c r="B10" s="6" t="n">
        <v>3</v>
      </c>
      <c r="C10" s="6" t="n">
        <v>4</v>
      </c>
      <c r="D10" s="6" t="n">
        <v>3</v>
      </c>
      <c r="E10" s="6" t="n">
        <v>130</v>
      </c>
      <c r="F10" s="36">
        <f>B10*E10</f>
        <v/>
      </c>
      <c r="G10" s="36">
        <f>C10*E10</f>
        <v/>
      </c>
      <c r="H10" s="36">
        <f>D10*E10</f>
        <v/>
      </c>
      <c r="I10" s="37" t="n">
        <v>0.38</v>
      </c>
      <c r="J10" s="37">
        <f>B10*I10</f>
        <v/>
      </c>
      <c r="K10" s="37">
        <f>C10*I10</f>
        <v/>
      </c>
      <c r="L10" s="37">
        <f>D10*I10</f>
        <v/>
      </c>
      <c r="M10" s="6" t="n">
        <v>1.23</v>
      </c>
      <c r="N10" s="38">
        <f>B10*M10</f>
        <v/>
      </c>
      <c r="O10" s="38">
        <f>C10*M10</f>
        <v/>
      </c>
      <c r="P10" s="38">
        <f>D10*M10</f>
        <v/>
      </c>
      <c r="Q10" s="7" t="inlineStr">
        <is>
          <t>Electrolytes</t>
        </is>
      </c>
    </row>
    <row r="11">
      <c r="A11" s="10" t="inlineStr">
        <is>
          <t>Trader Joe's Dried Mango Slices (1 oz)</t>
        </is>
      </c>
      <c r="B11" s="9" t="n">
        <v>3</v>
      </c>
      <c r="C11" s="9" t="n">
        <v>4</v>
      </c>
      <c r="D11" s="9" t="n">
        <v>3</v>
      </c>
      <c r="E11" s="9" t="n">
        <v>90</v>
      </c>
      <c r="F11" s="33">
        <f>B11*E11</f>
        <v/>
      </c>
      <c r="G11" s="33">
        <f>C11*E11</f>
        <v/>
      </c>
      <c r="H11" s="33">
        <f>D11*E11</f>
        <v/>
      </c>
      <c r="I11" s="34" t="n">
        <v>0.55</v>
      </c>
      <c r="J11" s="34">
        <f>B11*I11</f>
        <v/>
      </c>
      <c r="K11" s="34">
        <f>C11*I11</f>
        <v/>
      </c>
      <c r="L11" s="34">
        <f>D11*I11</f>
        <v/>
      </c>
      <c r="M11" s="9" t="n">
        <v>1</v>
      </c>
      <c r="N11" s="35">
        <f>B11*M11</f>
        <v/>
      </c>
      <c r="O11" s="35">
        <f>C11*M11</f>
        <v/>
      </c>
      <c r="P11" s="35">
        <f>D11*M11</f>
        <v/>
      </c>
      <c r="Q11" s="10" t="inlineStr">
        <is>
          <t>Trader Joe's — Sat snack · nut-free ✓</t>
        </is>
      </c>
    </row>
    <row r="12">
      <c r="A12" s="39" t="inlineStr">
        <is>
          <t>Snacks Total</t>
        </is>
      </c>
      <c r="B12" s="39" t="n"/>
      <c r="C12" s="39" t="n"/>
      <c r="D12" s="39" t="n"/>
      <c r="E12" s="39" t="n"/>
      <c r="F12" s="40">
        <f>SUM(F7:F11)</f>
        <v/>
      </c>
      <c r="G12" s="40">
        <f>SUM(G7:G11)</f>
        <v/>
      </c>
      <c r="H12" s="40">
        <f>SUM(H7:H11)</f>
        <v/>
      </c>
      <c r="I12" s="39" t="n"/>
      <c r="J12" s="41">
        <f>SUM(J7:J11)</f>
        <v/>
      </c>
      <c r="K12" s="41">
        <f>SUM(K7:K11)</f>
        <v/>
      </c>
      <c r="L12" s="41">
        <f>SUM(L7:L11)</f>
        <v/>
      </c>
      <c r="M12" s="39" t="n"/>
      <c r="N12" s="42">
        <f>SUM(N7:N11)</f>
        <v/>
      </c>
      <c r="O12" s="42">
        <f>SUM(O7:O11)</f>
        <v/>
      </c>
      <c r="P12" s="42">
        <f>SUM(P7:P11)</f>
        <v/>
      </c>
      <c r="Q12" s="39" t="n"/>
    </row>
    <row r="13" ht="24" customHeight="1">
      <c r="A13" s="26" t="inlineStr">
        <is>
          <t>SAT APR 4 — LUNCH (NO COOK — trail charcuterie)</t>
        </is>
      </c>
    </row>
    <row r="14" ht="30" customHeight="1">
      <c r="A14" s="27" t="inlineStr">
        <is>
          <t>Food Item</t>
        </is>
      </c>
      <c r="B14" s="27" t="inlineStr">
        <is>
          <t>Qty
(Scout 3)</t>
        </is>
      </c>
      <c r="C14" s="27" t="inlineStr">
        <is>
          <t>Qty
(Scout 4)</t>
        </is>
      </c>
      <c r="D14" s="27" t="inlineStr">
        <is>
          <t>Qty
(Adult 3)</t>
        </is>
      </c>
      <c r="E14" s="27" t="inlineStr">
        <is>
          <t>kcal/unit</t>
        </is>
      </c>
      <c r="F14" s="27" t="inlineStr">
        <is>
          <t>Scout 3
kcal</t>
        </is>
      </c>
      <c r="G14" s="27" t="inlineStr">
        <is>
          <t>Scout 4
kcal</t>
        </is>
      </c>
      <c r="H14" s="27" t="inlineStr">
        <is>
          <t>Adult 3
kcal</t>
        </is>
      </c>
      <c r="I14" s="27" t="inlineStr">
        <is>
          <t>$/unit</t>
        </is>
      </c>
      <c r="J14" s="27" t="inlineStr">
        <is>
          <t>Scout 3
$</t>
        </is>
      </c>
      <c r="K14" s="27" t="inlineStr">
        <is>
          <t>Scout 4
$</t>
        </is>
      </c>
      <c r="L14" s="27" t="inlineStr">
        <is>
          <t>Adult 3
$</t>
        </is>
      </c>
      <c r="M14" s="27" t="inlineStr">
        <is>
          <t>oz/unit</t>
        </is>
      </c>
      <c r="N14" s="27" t="inlineStr">
        <is>
          <t>Scout 3
oz</t>
        </is>
      </c>
      <c r="O14" s="27" t="inlineStr">
        <is>
          <t>Scout 4
oz</t>
        </is>
      </c>
      <c r="P14" s="27" t="inlineStr">
        <is>
          <t>Adult 3
oz</t>
        </is>
      </c>
      <c r="Q14" s="27" t="inlineStr">
        <is>
          <t>Notes</t>
        </is>
      </c>
    </row>
    <row r="15">
      <c r="A15" s="10" t="inlineStr">
        <is>
          <t>Columbus Hard Salami (sliced packet)</t>
        </is>
      </c>
      <c r="B15" s="9" t="n">
        <v>3</v>
      </c>
      <c r="C15" s="9" t="n">
        <v>4</v>
      </c>
      <c r="D15" s="9" t="n">
        <v>3</v>
      </c>
      <c r="E15" s="9" t="n">
        <v>220</v>
      </c>
      <c r="F15" s="33">
        <f>B15*E15</f>
        <v/>
      </c>
      <c r="G15" s="33">
        <f>C15*E15</f>
        <v/>
      </c>
      <c r="H15" s="33">
        <f>D15*E15</f>
        <v/>
      </c>
      <c r="I15" s="34" t="n">
        <v>2.99</v>
      </c>
      <c r="J15" s="34">
        <f>B15*I15</f>
        <v/>
      </c>
      <c r="K15" s="34">
        <f>C15*I15</f>
        <v/>
      </c>
      <c r="L15" s="34">
        <f>D15*I15</f>
        <v/>
      </c>
      <c r="M15" s="9" t="n">
        <v>2</v>
      </c>
      <c r="N15" s="35">
        <f>B15*M15</f>
        <v/>
      </c>
      <c r="O15" s="35">
        <f>C15*M15</f>
        <v/>
      </c>
      <c r="P15" s="35">
        <f>D15*M15</f>
        <v/>
      </c>
      <c r="Q15" s="10" t="inlineStr">
        <is>
          <t>1 packet/person; nut-free ✓</t>
        </is>
      </c>
    </row>
    <row r="16">
      <c r="A16" s="7" t="inlineStr">
        <is>
          <t>Wasa Crisp'n Light Crackerbread</t>
        </is>
      </c>
      <c r="B16" s="6" t="n">
        <v>3</v>
      </c>
      <c r="C16" s="6" t="n">
        <v>4</v>
      </c>
      <c r="D16" s="6" t="n">
        <v>3</v>
      </c>
      <c r="E16" s="6" t="n">
        <v>100</v>
      </c>
      <c r="F16" s="36">
        <f>B16*E16</f>
        <v/>
      </c>
      <c r="G16" s="36">
        <f>C16*E16</f>
        <v/>
      </c>
      <c r="H16" s="36">
        <f>D16*E16</f>
        <v/>
      </c>
      <c r="I16" s="37" t="n">
        <v>0.5</v>
      </c>
      <c r="J16" s="37">
        <f>B16*I16</f>
        <v/>
      </c>
      <c r="K16" s="37">
        <f>C16*I16</f>
        <v/>
      </c>
      <c r="L16" s="37">
        <f>D16*I16</f>
        <v/>
      </c>
      <c r="M16" s="6" t="n">
        <v>1</v>
      </c>
      <c r="N16" s="38">
        <f>B16*M16</f>
        <v/>
      </c>
      <c r="O16" s="38">
        <f>C16*M16</f>
        <v/>
      </c>
      <c r="P16" s="38">
        <f>D16*M16</f>
        <v/>
      </c>
      <c r="Q16" s="7" t="inlineStr">
        <is>
          <t>1 pack/person; nut-free ✓</t>
        </is>
      </c>
    </row>
    <row r="17">
      <c r="A17" s="10" t="inlineStr">
        <is>
          <t>Tillamook Cheddar Cheese Packets</t>
        </is>
      </c>
      <c r="B17" s="9" t="n">
        <v>3</v>
      </c>
      <c r="C17" s="9" t="n">
        <v>4</v>
      </c>
      <c r="D17" s="9" t="n">
        <v>3</v>
      </c>
      <c r="E17" s="9" t="n">
        <v>90</v>
      </c>
      <c r="F17" s="33">
        <f>B17*E17</f>
        <v/>
      </c>
      <c r="G17" s="33">
        <f>C17*E17</f>
        <v/>
      </c>
      <c r="H17" s="33">
        <f>D17*E17</f>
        <v/>
      </c>
      <c r="I17" s="34" t="n">
        <v>0.75</v>
      </c>
      <c r="J17" s="34">
        <f>B17*I17</f>
        <v/>
      </c>
      <c r="K17" s="34">
        <f>C17*I17</f>
        <v/>
      </c>
      <c r="L17" s="34">
        <f>D17*I17</f>
        <v/>
      </c>
      <c r="M17" s="9" t="n">
        <v>0.7</v>
      </c>
      <c r="N17" s="35">
        <f>B17*M17</f>
        <v/>
      </c>
      <c r="O17" s="35">
        <f>C17*M17</f>
        <v/>
      </c>
      <c r="P17" s="35">
        <f>D17*M17</f>
        <v/>
      </c>
      <c r="Q17" s="10" t="inlineStr">
        <is>
          <t>1 packet/person; nut-free ✓</t>
        </is>
      </c>
    </row>
    <row r="18">
      <c r="A18" s="39" t="inlineStr">
        <is>
          <t>Lunch Total</t>
        </is>
      </c>
      <c r="B18" s="39" t="n"/>
      <c r="C18" s="39" t="n"/>
      <c r="D18" s="39" t="n"/>
      <c r="E18" s="39" t="n"/>
      <c r="F18" s="40">
        <f>SUM(F15:F17)</f>
        <v/>
      </c>
      <c r="G18" s="40">
        <f>SUM(G15:G17)</f>
        <v/>
      </c>
      <c r="H18" s="40">
        <f>SUM(H15:H17)</f>
        <v/>
      </c>
      <c r="I18" s="39" t="n"/>
      <c r="J18" s="41">
        <f>SUM(J15:J17)</f>
        <v/>
      </c>
      <c r="K18" s="41">
        <f>SUM(K15:K17)</f>
        <v/>
      </c>
      <c r="L18" s="41">
        <f>SUM(L15:L17)</f>
        <v/>
      </c>
      <c r="M18" s="39" t="n"/>
      <c r="N18" s="42">
        <f>SUM(N15:N17)</f>
        <v/>
      </c>
      <c r="O18" s="42">
        <f>SUM(O15:O17)</f>
        <v/>
      </c>
      <c r="P18" s="42">
        <f>SUM(P15:P17)</f>
        <v/>
      </c>
      <c r="Q18" s="39" t="n"/>
    </row>
    <row r="19" ht="24" customHeight="1">
      <c r="A19" s="26" t="inlineStr">
        <is>
          <t>SAT APR 4 — DINNER (hot, communal — Star's Rest)</t>
        </is>
      </c>
    </row>
    <row r="20" ht="30" customHeight="1">
      <c r="A20" s="27" t="inlineStr">
        <is>
          <t>Food Item</t>
        </is>
      </c>
      <c r="B20" s="27" t="inlineStr">
        <is>
          <t>Qty
(Scout 3)</t>
        </is>
      </c>
      <c r="C20" s="27" t="inlineStr">
        <is>
          <t>Qty
(Scout 4)</t>
        </is>
      </c>
      <c r="D20" s="27" t="inlineStr">
        <is>
          <t>Qty
(Adult 3)</t>
        </is>
      </c>
      <c r="E20" s="27" t="inlineStr">
        <is>
          <t>kcal/unit</t>
        </is>
      </c>
      <c r="F20" s="27" t="inlineStr">
        <is>
          <t>Scout 3
kcal</t>
        </is>
      </c>
      <c r="G20" s="27" t="inlineStr">
        <is>
          <t>Scout 4
kcal</t>
        </is>
      </c>
      <c r="H20" s="27" t="inlineStr">
        <is>
          <t>Adult 3
kcal</t>
        </is>
      </c>
      <c r="I20" s="27" t="inlineStr">
        <is>
          <t>$/unit</t>
        </is>
      </c>
      <c r="J20" s="27" t="inlineStr">
        <is>
          <t>Scout 3
$</t>
        </is>
      </c>
      <c r="K20" s="27" t="inlineStr">
        <is>
          <t>Scout 4
$</t>
        </is>
      </c>
      <c r="L20" s="27" t="inlineStr">
        <is>
          <t>Adult 3
$</t>
        </is>
      </c>
      <c r="M20" s="27" t="inlineStr">
        <is>
          <t>oz/unit</t>
        </is>
      </c>
      <c r="N20" s="27" t="inlineStr">
        <is>
          <t>Scout 3
oz</t>
        </is>
      </c>
      <c r="O20" s="27" t="inlineStr">
        <is>
          <t>Scout 4
oz</t>
        </is>
      </c>
      <c r="P20" s="27" t="inlineStr">
        <is>
          <t>Adult 3
oz</t>
        </is>
      </c>
      <c r="Q20" s="27" t="inlineStr">
        <is>
          <t>Notes</t>
        </is>
      </c>
    </row>
    <row r="21">
      <c r="A21" s="10" t="inlineStr">
        <is>
          <t>Peak Refuel – Beef Pasta Marinara</t>
        </is>
      </c>
      <c r="B21" s="9" t="n">
        <v>2</v>
      </c>
      <c r="C21" s="9" t="n">
        <v>3</v>
      </c>
      <c r="D21" s="9" t="n">
        <v>3</v>
      </c>
      <c r="E21" s="9" t="n">
        <v>780</v>
      </c>
      <c r="F21" s="33">
        <f>B21*E21</f>
        <v/>
      </c>
      <c r="G21" s="33">
        <f>C21*E21</f>
        <v/>
      </c>
      <c r="H21" s="33">
        <f>D21*E21</f>
        <v/>
      </c>
      <c r="I21" s="34" t="n">
        <v>7.49</v>
      </c>
      <c r="J21" s="34">
        <f>B21*I21</f>
        <v/>
      </c>
      <c r="K21" s="34">
        <f>C21*I21</f>
        <v/>
      </c>
      <c r="L21" s="34">
        <f>D21*I21</f>
        <v/>
      </c>
      <c r="M21" s="9" t="n">
        <v>3.2</v>
      </c>
      <c r="N21" s="35">
        <f>B21*M21</f>
        <v/>
      </c>
      <c r="O21" s="35">
        <f>C21*M21</f>
        <v/>
      </c>
      <c r="P21" s="35">
        <f>D21*M21</f>
        <v/>
      </c>
      <c r="Q21" s="10" t="inlineStr">
        <is>
          <t>Scout 3: 2 pouches · Scout 4: 3 pouches · Adult 3: 3 pouches</t>
        </is>
      </c>
    </row>
    <row r="22">
      <c r="A22" s="7" t="inlineStr">
        <is>
          <t>Mission Street Taco Flour Tortillas</t>
        </is>
      </c>
      <c r="B22" s="6" t="n">
        <v>6</v>
      </c>
      <c r="C22" s="6" t="n">
        <v>8</v>
      </c>
      <c r="D22" s="6" t="n">
        <v>6</v>
      </c>
      <c r="E22" s="6" t="n">
        <v>75</v>
      </c>
      <c r="F22" s="36">
        <f>B22*E22</f>
        <v/>
      </c>
      <c r="G22" s="36">
        <f>C22*E22</f>
        <v/>
      </c>
      <c r="H22" s="36">
        <f>D22*E22</f>
        <v/>
      </c>
      <c r="I22" s="37" t="n">
        <v>0.25</v>
      </c>
      <c r="J22" s="37">
        <f>B22*I22</f>
        <v/>
      </c>
      <c r="K22" s="37">
        <f>C22*I22</f>
        <v/>
      </c>
      <c r="L22" s="37">
        <f>D22*I22</f>
        <v/>
      </c>
      <c r="M22" s="6" t="n">
        <v>0.5</v>
      </c>
      <c r="N22" s="38">
        <f>B22*M22</f>
        <v/>
      </c>
      <c r="O22" s="38">
        <f>C22*M22</f>
        <v/>
      </c>
      <c r="P22" s="38">
        <f>D22*M22</f>
        <v/>
      </c>
      <c r="Q22" s="7" t="inlineStr">
        <is>
          <t>2/person; nut-free ✓</t>
        </is>
      </c>
    </row>
    <row r="23">
      <c r="A23" s="10" t="inlineStr">
        <is>
          <t>Tillamook Cheddar Cheese Packets</t>
        </is>
      </c>
      <c r="B23" s="9" t="n">
        <v>6</v>
      </c>
      <c r="C23" s="9" t="n">
        <v>8</v>
      </c>
      <c r="D23" s="9" t="n">
        <v>6</v>
      </c>
      <c r="E23" s="9" t="n">
        <v>90</v>
      </c>
      <c r="F23" s="33">
        <f>B23*E23</f>
        <v/>
      </c>
      <c r="G23" s="33">
        <f>C23*E23</f>
        <v/>
      </c>
      <c r="H23" s="33">
        <f>D23*E23</f>
        <v/>
      </c>
      <c r="I23" s="34" t="n">
        <v>0.75</v>
      </c>
      <c r="J23" s="34">
        <f>B23*I23</f>
        <v/>
      </c>
      <c r="K23" s="34">
        <f>C23*I23</f>
        <v/>
      </c>
      <c r="L23" s="34">
        <f>D23*I23</f>
        <v/>
      </c>
      <c r="M23" s="9" t="n">
        <v>0.7</v>
      </c>
      <c r="N23" s="35">
        <f>B23*M23</f>
        <v/>
      </c>
      <c r="O23" s="35">
        <f>C23*M23</f>
        <v/>
      </c>
      <c r="P23" s="35">
        <f>D23*M23</f>
        <v/>
      </c>
      <c r="Q23" s="10" t="inlineStr">
        <is>
          <t>2/person; nut-free ✓</t>
        </is>
      </c>
    </row>
    <row r="24">
      <c r="A24" s="7" t="inlineStr">
        <is>
          <t>Swiss Miss Hot Chocolate</t>
        </is>
      </c>
      <c r="B24" s="6" t="n">
        <v>6</v>
      </c>
      <c r="C24" s="6" t="n">
        <v>8</v>
      </c>
      <c r="D24" s="6" t="n">
        <v>0</v>
      </c>
      <c r="E24" s="6" t="n">
        <v>90</v>
      </c>
      <c r="F24" s="36">
        <f>B24*E24</f>
        <v/>
      </c>
      <c r="G24" s="36">
        <f>C24*E24</f>
        <v/>
      </c>
      <c r="H24" s="36">
        <f>D24*E24</f>
        <v/>
      </c>
      <c r="I24" s="37" t="n">
        <v>0.38</v>
      </c>
      <c r="J24" s="37">
        <f>B24*I24</f>
        <v/>
      </c>
      <c r="K24" s="37">
        <f>C24*I24</f>
        <v/>
      </c>
      <c r="L24" s="37">
        <f>D24*I24</f>
        <v/>
      </c>
      <c r="M24" s="6" t="n">
        <v>0.73</v>
      </c>
      <c r="N24" s="38">
        <f>B24*M24</f>
        <v/>
      </c>
      <c r="O24" s="38">
        <f>C24*M24</f>
        <v/>
      </c>
      <c r="P24" s="38">
        <f>D24*M24</f>
        <v/>
      </c>
      <c r="Q24" s="7" t="inlineStr">
        <is>
          <t>Scout cans only (2/scout); Adults: own coffee/tea</t>
        </is>
      </c>
    </row>
    <row r="25">
      <c r="A25" s="39" t="inlineStr">
        <is>
          <t>Dinner Total</t>
        </is>
      </c>
      <c r="B25" s="39" t="n"/>
      <c r="C25" s="39" t="n"/>
      <c r="D25" s="39" t="n"/>
      <c r="E25" s="39" t="n"/>
      <c r="F25" s="40">
        <f>SUM(F21:F24)</f>
        <v/>
      </c>
      <c r="G25" s="40">
        <f>SUM(G21:G24)</f>
        <v/>
      </c>
      <c r="H25" s="40">
        <f>SUM(H21:H24)</f>
        <v/>
      </c>
      <c r="I25" s="39" t="n"/>
      <c r="J25" s="41">
        <f>SUM(J21:J24)</f>
        <v/>
      </c>
      <c r="K25" s="41">
        <f>SUM(K21:K24)</f>
        <v/>
      </c>
      <c r="L25" s="41">
        <f>SUM(L21:L24)</f>
        <v/>
      </c>
      <c r="M25" s="39" t="n"/>
      <c r="N25" s="42">
        <f>SUM(N21:N24)</f>
        <v/>
      </c>
      <c r="O25" s="42">
        <f>SUM(O21:O24)</f>
        <v/>
      </c>
      <c r="P25" s="42">
        <f>SUM(P21:P24)</f>
        <v/>
      </c>
      <c r="Q25" s="39" t="n"/>
    </row>
    <row r="26" ht="24" customHeight="1">
      <c r="A26" s="26" t="inlineStr">
        <is>
          <t>SAT APR 4 — DESSERT (Crème Brûlée)</t>
        </is>
      </c>
    </row>
    <row r="27" ht="30" customHeight="1">
      <c r="A27" s="27" t="inlineStr">
        <is>
          <t>Food Item</t>
        </is>
      </c>
      <c r="B27" s="27" t="inlineStr">
        <is>
          <t>Qty
(Scout 3)</t>
        </is>
      </c>
      <c r="C27" s="27" t="inlineStr">
        <is>
          <t>Qty
(Scout 4)</t>
        </is>
      </c>
      <c r="D27" s="27" t="inlineStr">
        <is>
          <t>Qty
(Adult 3)</t>
        </is>
      </c>
      <c r="E27" s="27" t="inlineStr">
        <is>
          <t>kcal/unit</t>
        </is>
      </c>
      <c r="F27" s="27" t="inlineStr">
        <is>
          <t>Scout 3
kcal</t>
        </is>
      </c>
      <c r="G27" s="27" t="inlineStr">
        <is>
          <t>Scout 4
kcal</t>
        </is>
      </c>
      <c r="H27" s="27" t="inlineStr">
        <is>
          <t>Adult 3
kcal</t>
        </is>
      </c>
      <c r="I27" s="27" t="inlineStr">
        <is>
          <t>$/unit</t>
        </is>
      </c>
      <c r="J27" s="27" t="inlineStr">
        <is>
          <t>Scout 3
$</t>
        </is>
      </c>
      <c r="K27" s="27" t="inlineStr">
        <is>
          <t>Scout 4
$</t>
        </is>
      </c>
      <c r="L27" s="27" t="inlineStr">
        <is>
          <t>Adult 3
$</t>
        </is>
      </c>
      <c r="M27" s="27" t="inlineStr">
        <is>
          <t>oz/unit</t>
        </is>
      </c>
      <c r="N27" s="27" t="inlineStr">
        <is>
          <t>Scout 3
oz</t>
        </is>
      </c>
      <c r="O27" s="27" t="inlineStr">
        <is>
          <t>Scout 4
oz</t>
        </is>
      </c>
      <c r="P27" s="27" t="inlineStr">
        <is>
          <t>Adult 3
oz</t>
        </is>
      </c>
      <c r="Q27" s="27" t="inlineStr">
        <is>
          <t>Notes</t>
        </is>
      </c>
    </row>
    <row r="28">
      <c r="A28" s="7" t="inlineStr">
        <is>
          <t>Backpacker's Pantry – Crème Brûlée</t>
        </is>
      </c>
      <c r="B28" s="6" t="n">
        <v>2</v>
      </c>
      <c r="C28" s="6" t="n">
        <v>2</v>
      </c>
      <c r="D28" s="6" t="n">
        <v>2</v>
      </c>
      <c r="E28" s="6" t="n">
        <v>620</v>
      </c>
      <c r="F28" s="36">
        <f>B28*E28</f>
        <v/>
      </c>
      <c r="G28" s="36">
        <f>C28*E28</f>
        <v/>
      </c>
      <c r="H28" s="36">
        <f>D28*E28</f>
        <v/>
      </c>
      <c r="I28" s="37" t="n">
        <v>8.99</v>
      </c>
      <c r="J28" s="37">
        <f>B28*I28</f>
        <v/>
      </c>
      <c r="K28" s="37">
        <f>C28*I28</f>
        <v/>
      </c>
      <c r="L28" s="37">
        <f>D28*I28</f>
        <v/>
      </c>
      <c r="M28" s="6" t="n">
        <v>2.26</v>
      </c>
      <c r="N28" s="38">
        <f>B28*M28</f>
        <v/>
      </c>
      <c r="O28" s="38">
        <f>C28*M28</f>
        <v/>
      </c>
      <c r="P28" s="38">
        <f>D28*M28</f>
        <v/>
      </c>
      <c r="Q28" s="7" t="inlineStr">
        <is>
          <t>1 pouch per 2 people; buddy pairs share. ⚠ Check label for cashews</t>
        </is>
      </c>
    </row>
    <row r="29">
      <c r="A29" s="39" t="inlineStr">
        <is>
          <t>Dessert Total</t>
        </is>
      </c>
      <c r="B29" s="39" t="n"/>
      <c r="C29" s="39" t="n"/>
      <c r="D29" s="39" t="n"/>
      <c r="E29" s="39" t="n"/>
      <c r="F29" s="40">
        <f>SUM(F28:F28)</f>
        <v/>
      </c>
      <c r="G29" s="40">
        <f>SUM(G28:G28)</f>
        <v/>
      </c>
      <c r="H29" s="40">
        <f>SUM(H28:H28)</f>
        <v/>
      </c>
      <c r="I29" s="39" t="n"/>
      <c r="J29" s="41">
        <f>SUM(J28:J28)</f>
        <v/>
      </c>
      <c r="K29" s="41">
        <f>SUM(K28:K28)</f>
        <v/>
      </c>
      <c r="L29" s="41">
        <f>SUM(L28:L28)</f>
        <v/>
      </c>
      <c r="M29" s="39" t="n"/>
      <c r="N29" s="42">
        <f>SUM(N28:N28)</f>
        <v/>
      </c>
      <c r="O29" s="42">
        <f>SUM(O28:O28)</f>
        <v/>
      </c>
      <c r="P29" s="42">
        <f>SUM(P28:P28)</f>
        <v/>
      </c>
      <c r="Q29" s="39" t="n"/>
    </row>
    <row r="30">
      <c r="A30" s="43" t="inlineStr">
        <is>
          <t>SAT APR 4 — DAILY TOTAL (Per Bear Can)</t>
        </is>
      </c>
      <c r="B30" s="43" t="n"/>
      <c r="C30" s="43" t="n"/>
      <c r="D30" s="43" t="n"/>
      <c r="E30" s="43" t="n"/>
      <c r="F30" s="44">
        <f>F12+F18+F25+F29</f>
        <v/>
      </c>
      <c r="G30" s="44">
        <f>G12+G18+G25+G29</f>
        <v/>
      </c>
      <c r="H30" s="44">
        <f>H12+H18+H25+H29</f>
        <v/>
      </c>
      <c r="I30" s="43" t="n"/>
      <c r="J30" s="45">
        <f>J12+J18+J25+J29</f>
        <v/>
      </c>
      <c r="K30" s="45">
        <f>K12+K18+K25+K29</f>
        <v/>
      </c>
      <c r="L30" s="45">
        <f>L12+L18+L25+L29</f>
        <v/>
      </c>
      <c r="M30" s="43" t="n"/>
      <c r="N30" s="46">
        <f>N12+N18+N25+N29</f>
        <v/>
      </c>
      <c r="O30" s="46">
        <f>O12+O18+O25+O29</f>
        <v/>
      </c>
      <c r="P30" s="46">
        <f>P12+P18+P25+P29</f>
        <v/>
      </c>
      <c r="Q30" s="43" t="n"/>
    </row>
    <row r="31">
      <c r="A31" s="47" t="inlineStr">
        <is>
          <t>SAT APR 4 — CALORIES DELIVERED PER PERSON</t>
        </is>
      </c>
      <c r="B31" s="47" t="n"/>
      <c r="C31" s="47" t="n"/>
      <c r="D31" s="47" t="n"/>
      <c r="E31" s="47" t="n"/>
      <c r="F31" s="48">
        <f>F30/3</f>
        <v/>
      </c>
      <c r="G31" s="48">
        <f>G30/4</f>
        <v/>
      </c>
      <c r="H31" s="48">
        <f>H30/3</f>
        <v/>
      </c>
      <c r="I31" s="47" t="n"/>
      <c r="J31" s="47" t="n"/>
      <c r="K31" s="47" t="n"/>
      <c r="L31" s="47" t="n"/>
      <c r="M31" s="47" t="n"/>
      <c r="N31" s="47" t="n"/>
      <c r="O31" s="47" t="n"/>
      <c r="P31" s="47" t="n"/>
      <c r="Q31" s="47" t="n"/>
    </row>
    <row r="32" ht="24" customHeight="1">
      <c r="A32" s="26" t="inlineStr">
        <is>
          <t>SUN APR 5 — BREAKFAST (grab &amp; go — MET-Rx Big100)</t>
        </is>
      </c>
    </row>
    <row r="33" ht="30" customHeight="1">
      <c r="A33" s="27" t="inlineStr">
        <is>
          <t>Food Item</t>
        </is>
      </c>
      <c r="B33" s="27" t="inlineStr">
        <is>
          <t>Qty
(Scout 3)</t>
        </is>
      </c>
      <c r="C33" s="27" t="inlineStr">
        <is>
          <t>Qty
(Scout 4)</t>
        </is>
      </c>
      <c r="D33" s="27" t="inlineStr">
        <is>
          <t>Qty
(Adult 3)</t>
        </is>
      </c>
      <c r="E33" s="27" t="inlineStr">
        <is>
          <t>kcal/unit</t>
        </is>
      </c>
      <c r="F33" s="27" t="inlineStr">
        <is>
          <t>Scout 3
kcal</t>
        </is>
      </c>
      <c r="G33" s="27" t="inlineStr">
        <is>
          <t>Scout 4
kcal</t>
        </is>
      </c>
      <c r="H33" s="27" t="inlineStr">
        <is>
          <t>Adult 3
kcal</t>
        </is>
      </c>
      <c r="I33" s="27" t="inlineStr">
        <is>
          <t>$/unit</t>
        </is>
      </c>
      <c r="J33" s="27" t="inlineStr">
        <is>
          <t>Scout 3
$</t>
        </is>
      </c>
      <c r="K33" s="27" t="inlineStr">
        <is>
          <t>Scout 4
$</t>
        </is>
      </c>
      <c r="L33" s="27" t="inlineStr">
        <is>
          <t>Adult 3
$</t>
        </is>
      </c>
      <c r="M33" s="27" t="inlineStr">
        <is>
          <t>oz/unit</t>
        </is>
      </c>
      <c r="N33" s="27" t="inlineStr">
        <is>
          <t>Scout 3
oz</t>
        </is>
      </c>
      <c r="O33" s="27" t="inlineStr">
        <is>
          <t>Scout 4
oz</t>
        </is>
      </c>
      <c r="P33" s="27" t="inlineStr">
        <is>
          <t>Adult 3
oz</t>
        </is>
      </c>
      <c r="Q33" s="27" t="inlineStr">
        <is>
          <t>Notes</t>
        </is>
      </c>
    </row>
    <row r="34">
      <c r="A34" s="28" t="inlineStr">
        <is>
          <t>MET-Rx Big100 – Super Cookie Crunch</t>
        </is>
      </c>
      <c r="B34" s="29" t="n">
        <v>3</v>
      </c>
      <c r="C34" s="29" t="n">
        <v>4</v>
      </c>
      <c r="D34" s="29" t="n">
        <v>3</v>
      </c>
      <c r="E34" s="29" t="n">
        <v>420</v>
      </c>
      <c r="F34" s="30">
        <f>B34*E34</f>
        <v/>
      </c>
      <c r="G34" s="30">
        <f>C34*E34</f>
        <v/>
      </c>
      <c r="H34" s="30">
        <f>D34*E34</f>
        <v/>
      </c>
      <c r="I34" s="31" t="n">
        <v>2.19</v>
      </c>
      <c r="J34" s="31">
        <f>B34*I34</f>
        <v/>
      </c>
      <c r="K34" s="31">
        <f>C34*I34</f>
        <v/>
      </c>
      <c r="L34" s="31">
        <f>D34*I34</f>
        <v/>
      </c>
      <c r="M34" s="29" t="n">
        <v>3.53</v>
      </c>
      <c r="N34" s="32">
        <f>B34*M34</f>
        <v/>
      </c>
      <c r="O34" s="32">
        <f>C34*M34</f>
        <v/>
      </c>
      <c r="P34" s="32">
        <f>D34*M34</f>
        <v/>
      </c>
      <c r="Q34" s="28" t="inlineStr">
        <is>
          <t>1/person; ⚠ NUT: swap → No Nuts! bar for allergy scout</t>
        </is>
      </c>
    </row>
    <row r="35">
      <c r="A35" s="10" t="inlineStr">
        <is>
          <t>Swiss Miss Hot Chocolate</t>
        </is>
      </c>
      <c r="B35" s="9" t="n">
        <v>6</v>
      </c>
      <c r="C35" s="9" t="n">
        <v>8</v>
      </c>
      <c r="D35" s="9" t="n">
        <v>0</v>
      </c>
      <c r="E35" s="9" t="n">
        <v>90</v>
      </c>
      <c r="F35" s="33">
        <f>B35*E35</f>
        <v/>
      </c>
      <c r="G35" s="33">
        <f>C35*E35</f>
        <v/>
      </c>
      <c r="H35" s="33">
        <f>D35*E35</f>
        <v/>
      </c>
      <c r="I35" s="34" t="n">
        <v>0.38</v>
      </c>
      <c r="J35" s="34">
        <f>B35*I35</f>
        <v/>
      </c>
      <c r="K35" s="34">
        <f>C35*I35</f>
        <v/>
      </c>
      <c r="L35" s="34">
        <f>D35*I35</f>
        <v/>
      </c>
      <c r="M35" s="9" t="n">
        <v>0.73</v>
      </c>
      <c r="N35" s="35">
        <f>B35*M35</f>
        <v/>
      </c>
      <c r="O35" s="35">
        <f>C35*M35</f>
        <v/>
      </c>
      <c r="P35" s="35">
        <f>D35*M35</f>
        <v/>
      </c>
      <c r="Q35" s="10" t="inlineStr">
        <is>
          <t>Scout cans only — boil water for drinks ONLY</t>
        </is>
      </c>
    </row>
    <row r="36">
      <c r="A36" s="39" t="inlineStr">
        <is>
          <t>Breakfast Total</t>
        </is>
      </c>
      <c r="B36" s="39" t="n"/>
      <c r="C36" s="39" t="n"/>
      <c r="D36" s="39" t="n"/>
      <c r="E36" s="39" t="n"/>
      <c r="F36" s="40">
        <f>SUM(F34:F35)</f>
        <v/>
      </c>
      <c r="G36" s="40">
        <f>SUM(G34:G35)</f>
        <v/>
      </c>
      <c r="H36" s="40">
        <f>SUM(H34:H35)</f>
        <v/>
      </c>
      <c r="I36" s="39" t="n"/>
      <c r="J36" s="41">
        <f>SUM(J34:J35)</f>
        <v/>
      </c>
      <c r="K36" s="41">
        <f>SUM(K34:K35)</f>
        <v/>
      </c>
      <c r="L36" s="41">
        <f>SUM(L34:L35)</f>
        <v/>
      </c>
      <c r="M36" s="39" t="n"/>
      <c r="N36" s="42">
        <f>SUM(N34:N35)</f>
        <v/>
      </c>
      <c r="O36" s="42">
        <f>SUM(O34:O35)</f>
        <v/>
      </c>
      <c r="P36" s="42">
        <f>SUM(P34:P35)</f>
        <v/>
      </c>
      <c r="Q36" s="39" t="n"/>
    </row>
    <row r="37" ht="24" customHeight="1">
      <c r="A37" s="26" t="inlineStr">
        <is>
          <t>SUN APR 5 — SNACKS (individual — all cans)</t>
        </is>
      </c>
    </row>
    <row r="38" ht="30" customHeight="1">
      <c r="A38" s="27" t="inlineStr">
        <is>
          <t>Food Item</t>
        </is>
      </c>
      <c r="B38" s="27" t="inlineStr">
        <is>
          <t>Qty
(Scout 3)</t>
        </is>
      </c>
      <c r="C38" s="27" t="inlineStr">
        <is>
          <t>Qty
(Scout 4)</t>
        </is>
      </c>
      <c r="D38" s="27" t="inlineStr">
        <is>
          <t>Qty
(Adult 3)</t>
        </is>
      </c>
      <c r="E38" s="27" t="inlineStr">
        <is>
          <t>kcal/unit</t>
        </is>
      </c>
      <c r="F38" s="27" t="inlineStr">
        <is>
          <t>Scout 3
kcal</t>
        </is>
      </c>
      <c r="G38" s="27" t="inlineStr">
        <is>
          <t>Scout 4
kcal</t>
        </is>
      </c>
      <c r="H38" s="27" t="inlineStr">
        <is>
          <t>Adult 3
kcal</t>
        </is>
      </c>
      <c r="I38" s="27" t="inlineStr">
        <is>
          <t>$/unit</t>
        </is>
      </c>
      <c r="J38" s="27" t="inlineStr">
        <is>
          <t>Scout 3
$</t>
        </is>
      </c>
      <c r="K38" s="27" t="inlineStr">
        <is>
          <t>Scout 4
$</t>
        </is>
      </c>
      <c r="L38" s="27" t="inlineStr">
        <is>
          <t>Adult 3
$</t>
        </is>
      </c>
      <c r="M38" s="27" t="inlineStr">
        <is>
          <t>oz/unit</t>
        </is>
      </c>
      <c r="N38" s="27" t="inlineStr">
        <is>
          <t>Scout 3
oz</t>
        </is>
      </c>
      <c r="O38" s="27" t="inlineStr">
        <is>
          <t>Scout 4
oz</t>
        </is>
      </c>
      <c r="P38" s="27" t="inlineStr">
        <is>
          <t>Adult 3
oz</t>
        </is>
      </c>
      <c r="Q38" s="27" t="inlineStr">
        <is>
          <t>Notes</t>
        </is>
      </c>
    </row>
    <row r="39">
      <c r="A39" s="10" t="inlineStr">
        <is>
          <t>Krave Sea Salt Original Beef Jerky</t>
        </is>
      </c>
      <c r="B39" s="9" t="n">
        <v>3</v>
      </c>
      <c r="C39" s="9" t="n">
        <v>4</v>
      </c>
      <c r="D39" s="9" t="n">
        <v>3</v>
      </c>
      <c r="E39" s="9" t="n">
        <v>140</v>
      </c>
      <c r="F39" s="33">
        <f>B39*E39</f>
        <v/>
      </c>
      <c r="G39" s="33">
        <f>C39*E39</f>
        <v/>
      </c>
      <c r="H39" s="33">
        <f>D39*E39</f>
        <v/>
      </c>
      <c r="I39" s="34" t="n">
        <v>2.19</v>
      </c>
      <c r="J39" s="34">
        <f>B39*I39</f>
        <v/>
      </c>
      <c r="K39" s="34">
        <f>C39*I39</f>
        <v/>
      </c>
      <c r="L39" s="34">
        <f>D39*I39</f>
        <v/>
      </c>
      <c r="M39" s="9" t="n">
        <v>1.48</v>
      </c>
      <c r="N39" s="35">
        <f>B39*M39</f>
        <v/>
      </c>
      <c r="O39" s="35">
        <f>C39*M39</f>
        <v/>
      </c>
      <c r="P39" s="35">
        <f>D39*M39</f>
        <v/>
      </c>
      <c r="Q39" s="10" t="inlineStr">
        <is>
          <t>Safe ✓</t>
        </is>
      </c>
    </row>
    <row r="40">
      <c r="A40" s="28" t="inlineStr">
        <is>
          <t>Kind – Dark Choc Nuts &amp; Sea Salt Bar</t>
        </is>
      </c>
      <c r="B40" s="29" t="n">
        <v>3</v>
      </c>
      <c r="C40" s="29" t="n">
        <v>4</v>
      </c>
      <c r="D40" s="29" t="n">
        <v>3</v>
      </c>
      <c r="E40" s="29" t="n">
        <v>200</v>
      </c>
      <c r="F40" s="30">
        <f>B40*E40</f>
        <v/>
      </c>
      <c r="G40" s="30">
        <f>C40*E40</f>
        <v/>
      </c>
      <c r="H40" s="30">
        <f>D40*E40</f>
        <v/>
      </c>
      <c r="I40" s="31" t="n">
        <v>1.04</v>
      </c>
      <c r="J40" s="31">
        <f>B40*I40</f>
        <v/>
      </c>
      <c r="K40" s="31">
        <f>C40*I40</f>
        <v/>
      </c>
      <c r="L40" s="31">
        <f>D40*I40</f>
        <v/>
      </c>
      <c r="M40" s="29" t="n">
        <v>1.4</v>
      </c>
      <c r="N40" s="32">
        <f>B40*M40</f>
        <v/>
      </c>
      <c r="O40" s="32">
        <f>C40*M40</f>
        <v/>
      </c>
      <c r="P40" s="32">
        <f>D40*M40</f>
        <v/>
      </c>
      <c r="Q40" s="28" t="inlineStr">
        <is>
          <t>⚠ NUT: swap → 88 Acres bar for allergy scout</t>
        </is>
      </c>
    </row>
    <row r="41">
      <c r="A41" s="10" t="inlineStr">
        <is>
          <t>Gatorade Powder Pack</t>
        </is>
      </c>
      <c r="B41" s="9" t="n">
        <v>6</v>
      </c>
      <c r="C41" s="9" t="n">
        <v>8</v>
      </c>
      <c r="D41" s="9" t="n">
        <v>6</v>
      </c>
      <c r="E41" s="9" t="n">
        <v>130</v>
      </c>
      <c r="F41" s="33">
        <f>B41*E41</f>
        <v/>
      </c>
      <c r="G41" s="33">
        <f>C41*E41</f>
        <v/>
      </c>
      <c r="H41" s="33">
        <f>D41*E41</f>
        <v/>
      </c>
      <c r="I41" s="34" t="n">
        <v>0.38</v>
      </c>
      <c r="J41" s="34">
        <f>B41*I41</f>
        <v/>
      </c>
      <c r="K41" s="34">
        <f>C41*I41</f>
        <v/>
      </c>
      <c r="L41" s="34">
        <f>D41*I41</f>
        <v/>
      </c>
      <c r="M41" s="9" t="n">
        <v>1.23</v>
      </c>
      <c r="N41" s="35">
        <f>B41*M41</f>
        <v/>
      </c>
      <c r="O41" s="35">
        <f>C41*M41</f>
        <v/>
      </c>
      <c r="P41" s="35">
        <f>D41*M41</f>
        <v/>
      </c>
      <c r="Q41" s="10" t="inlineStr">
        <is>
          <t>×2/person; hardest climbing day</t>
        </is>
      </c>
    </row>
    <row r="42">
      <c r="A42" s="7" t="inlineStr">
        <is>
          <t>Banana Chips (1 oz/person)</t>
        </is>
      </c>
      <c r="B42" s="6" t="n">
        <v>3</v>
      </c>
      <c r="C42" s="6" t="n">
        <v>4</v>
      </c>
      <c r="D42" s="6" t="n">
        <v>3</v>
      </c>
      <c r="E42" s="6" t="n">
        <v>150</v>
      </c>
      <c r="F42" s="36">
        <f>B42*E42</f>
        <v/>
      </c>
      <c r="G42" s="36">
        <f>C42*E42</f>
        <v/>
      </c>
      <c r="H42" s="36">
        <f>D42*E42</f>
        <v/>
      </c>
      <c r="I42" s="37" t="n">
        <v>0.45</v>
      </c>
      <c r="J42" s="37">
        <f>B42*I42</f>
        <v/>
      </c>
      <c r="K42" s="37">
        <f>C42*I42</f>
        <v/>
      </c>
      <c r="L42" s="37">
        <f>D42*I42</f>
        <v/>
      </c>
      <c r="M42" s="6" t="n">
        <v>1</v>
      </c>
      <c r="N42" s="38">
        <f>B42*M42</f>
        <v/>
      </c>
      <c r="O42" s="38">
        <f>C42*M42</f>
        <v/>
      </c>
      <c r="P42" s="38">
        <f>D42*M42</f>
        <v/>
      </c>
      <c r="Q42" s="7" t="inlineStr">
        <is>
          <t>nut-free ✓</t>
        </is>
      </c>
    </row>
    <row r="43">
      <c r="A43" s="39" t="inlineStr">
        <is>
          <t>Snacks Total</t>
        </is>
      </c>
      <c r="B43" s="39" t="n"/>
      <c r="C43" s="39" t="n"/>
      <c r="D43" s="39" t="n"/>
      <c r="E43" s="39" t="n"/>
      <c r="F43" s="40">
        <f>SUM(F39:F42)</f>
        <v/>
      </c>
      <c r="G43" s="40">
        <f>SUM(G39:G42)</f>
        <v/>
      </c>
      <c r="H43" s="40">
        <f>SUM(H39:H42)</f>
        <v/>
      </c>
      <c r="I43" s="39" t="n"/>
      <c r="J43" s="41">
        <f>SUM(J39:J42)</f>
        <v/>
      </c>
      <c r="K43" s="41">
        <f>SUM(K39:K42)</f>
        <v/>
      </c>
      <c r="L43" s="41">
        <f>SUM(L39:L42)</f>
        <v/>
      </c>
      <c r="M43" s="39" t="n"/>
      <c r="N43" s="42">
        <f>SUM(N39:N42)</f>
        <v/>
      </c>
      <c r="O43" s="42">
        <f>SUM(O39:O42)</f>
        <v/>
      </c>
      <c r="P43" s="42">
        <f>SUM(P39:P42)</f>
        <v/>
      </c>
      <c r="Q43" s="39" t="n"/>
    </row>
    <row r="44" ht="24" customHeight="1">
      <c r="A44" s="26" t="inlineStr">
        <is>
          <t>SUN APR 5 — ADULT SUPPLEMENT (Adult Cans Only)</t>
        </is>
      </c>
    </row>
    <row r="45" ht="30" customHeight="1">
      <c r="A45" s="27" t="inlineStr">
        <is>
          <t>Food Item</t>
        </is>
      </c>
      <c r="B45" s="27" t="inlineStr">
        <is>
          <t>Qty
(Scout 3)</t>
        </is>
      </c>
      <c r="C45" s="27" t="inlineStr">
        <is>
          <t>Qty
(Scout 4)</t>
        </is>
      </c>
      <c r="D45" s="27" t="inlineStr">
        <is>
          <t>Qty
(Adult 3)</t>
        </is>
      </c>
      <c r="E45" s="27" t="inlineStr">
        <is>
          <t>kcal/unit</t>
        </is>
      </c>
      <c r="F45" s="27" t="inlineStr">
        <is>
          <t>Scout 3
kcal</t>
        </is>
      </c>
      <c r="G45" s="27" t="inlineStr">
        <is>
          <t>Scout 4
kcal</t>
        </is>
      </c>
      <c r="H45" s="27" t="inlineStr">
        <is>
          <t>Adult 3
kcal</t>
        </is>
      </c>
      <c r="I45" s="27" t="inlineStr">
        <is>
          <t>$/unit</t>
        </is>
      </c>
      <c r="J45" s="27" t="inlineStr">
        <is>
          <t>Scout 3
$</t>
        </is>
      </c>
      <c r="K45" s="27" t="inlineStr">
        <is>
          <t>Scout 4
$</t>
        </is>
      </c>
      <c r="L45" s="27" t="inlineStr">
        <is>
          <t>Adult 3
$</t>
        </is>
      </c>
      <c r="M45" s="27" t="inlineStr">
        <is>
          <t>oz/unit</t>
        </is>
      </c>
      <c r="N45" s="27" t="inlineStr">
        <is>
          <t>Scout 3
oz</t>
        </is>
      </c>
      <c r="O45" s="27" t="inlineStr">
        <is>
          <t>Scout 4
oz</t>
        </is>
      </c>
      <c r="P45" s="27" t="inlineStr">
        <is>
          <t>Adult 3
oz</t>
        </is>
      </c>
      <c r="Q45" s="27" t="inlineStr">
        <is>
          <t>Notes</t>
        </is>
      </c>
    </row>
    <row r="46">
      <c r="A46" s="49" t="inlineStr">
        <is>
          <t>Clif Builder's – Crunchy Peanut Butter</t>
        </is>
      </c>
      <c r="B46" s="50" t="n">
        <v>0</v>
      </c>
      <c r="C46" s="50" t="n">
        <v>0</v>
      </c>
      <c r="D46" s="50" t="n">
        <v>3</v>
      </c>
      <c r="E46" s="50" t="n">
        <v>280</v>
      </c>
      <c r="F46" s="51">
        <f>B46*E46</f>
        <v/>
      </c>
      <c r="G46" s="51">
        <f>C46*E46</f>
        <v/>
      </c>
      <c r="H46" s="51">
        <f>D46*E46</f>
        <v/>
      </c>
      <c r="I46" s="52" t="n">
        <v>2.17</v>
      </c>
      <c r="J46" s="52">
        <f>B46*I46</f>
        <v/>
      </c>
      <c r="K46" s="52">
        <f>C46*I46</f>
        <v/>
      </c>
      <c r="L46" s="52">
        <f>D46*I46</f>
        <v/>
      </c>
      <c r="M46" s="50" t="n">
        <v>2.4</v>
      </c>
      <c r="N46" s="53">
        <f>B46*M46</f>
        <v/>
      </c>
      <c r="O46" s="53">
        <f>C46*M46</f>
        <v/>
      </c>
      <c r="P46" s="53">
        <f>D46*M46</f>
        <v/>
      </c>
      <c r="Q46" s="49" t="inlineStr">
        <is>
          <t>Pre-dinner — adult cans only; 1/person; ⚠ NUT</t>
        </is>
      </c>
    </row>
    <row r="47">
      <c r="A47" s="49" t="inlineStr">
        <is>
          <t>Justin's Classic PB Squeeze Pack</t>
        </is>
      </c>
      <c r="B47" s="50" t="n">
        <v>0</v>
      </c>
      <c r="C47" s="50" t="n">
        <v>0</v>
      </c>
      <c r="D47" s="50" t="n">
        <v>3</v>
      </c>
      <c r="E47" s="50" t="n">
        <v>210</v>
      </c>
      <c r="F47" s="51">
        <f>B47*E47</f>
        <v/>
      </c>
      <c r="G47" s="51">
        <f>C47*E47</f>
        <v/>
      </c>
      <c r="H47" s="51">
        <f>D47*E47</f>
        <v/>
      </c>
      <c r="I47" s="52" t="n">
        <v>1.49</v>
      </c>
      <c r="J47" s="52">
        <f>B47*I47</f>
        <v/>
      </c>
      <c r="K47" s="52">
        <f>C47*I47</f>
        <v/>
      </c>
      <c r="L47" s="52">
        <f>D47*I47</f>
        <v/>
      </c>
      <c r="M47" s="50" t="n">
        <v>1.15</v>
      </c>
      <c r="N47" s="53">
        <f>B47*M47</f>
        <v/>
      </c>
      <c r="O47" s="53">
        <f>C47*M47</f>
        <v/>
      </c>
      <c r="P47" s="53">
        <f>D47*M47</f>
        <v/>
      </c>
      <c r="Q47" s="49" t="inlineStr">
        <is>
          <t>Any time — adult cans only; 1/person; ⚠ NUT</t>
        </is>
      </c>
    </row>
    <row r="48">
      <c r="A48" s="39" t="inlineStr">
        <is>
          <t>Adult Supplement Total</t>
        </is>
      </c>
      <c r="B48" s="39" t="n"/>
      <c r="C48" s="39" t="n"/>
      <c r="D48" s="39" t="n"/>
      <c r="E48" s="39" t="n"/>
      <c r="F48" s="40">
        <f>SUM(F46:F47)</f>
        <v/>
      </c>
      <c r="G48" s="40">
        <f>SUM(G46:G47)</f>
        <v/>
      </c>
      <c r="H48" s="40">
        <f>SUM(H46:H47)</f>
        <v/>
      </c>
      <c r="I48" s="39" t="n"/>
      <c r="J48" s="41">
        <f>SUM(J46:J47)</f>
        <v/>
      </c>
      <c r="K48" s="41">
        <f>SUM(K46:K47)</f>
        <v/>
      </c>
      <c r="L48" s="41">
        <f>SUM(L46:L47)</f>
        <v/>
      </c>
      <c r="M48" s="39" t="n"/>
      <c r="N48" s="42">
        <f>SUM(N46:N47)</f>
        <v/>
      </c>
      <c r="O48" s="42">
        <f>SUM(O46:O47)</f>
        <v/>
      </c>
      <c r="P48" s="42">
        <f>SUM(P46:P47)</f>
        <v/>
      </c>
      <c r="Q48" s="39" t="n"/>
    </row>
    <row r="49" ht="24" customHeight="1">
      <c r="A49" s="54" t="inlineStr">
        <is>
          <t>SUN APR 5 — LUNCH (NO COOK — chicken wraps)</t>
        </is>
      </c>
    </row>
    <row r="50" ht="30" customHeight="1">
      <c r="A50" s="27" t="inlineStr">
        <is>
          <t>Food Item</t>
        </is>
      </c>
      <c r="B50" s="27" t="inlineStr">
        <is>
          <t>Qty
(Scout 3)</t>
        </is>
      </c>
      <c r="C50" s="27" t="inlineStr">
        <is>
          <t>Qty
(Scout 4)</t>
        </is>
      </c>
      <c r="D50" s="27" t="inlineStr">
        <is>
          <t>Qty
(Adult 3)</t>
        </is>
      </c>
      <c r="E50" s="27" t="inlineStr">
        <is>
          <t>kcal/unit</t>
        </is>
      </c>
      <c r="F50" s="27" t="inlineStr">
        <is>
          <t>Scout 3
kcal</t>
        </is>
      </c>
      <c r="G50" s="27" t="inlineStr">
        <is>
          <t>Scout 4
kcal</t>
        </is>
      </c>
      <c r="H50" s="27" t="inlineStr">
        <is>
          <t>Adult 3
kcal</t>
        </is>
      </c>
      <c r="I50" s="27" t="inlineStr">
        <is>
          <t>$/unit</t>
        </is>
      </c>
      <c r="J50" s="27" t="inlineStr">
        <is>
          <t>Scout 3
$</t>
        </is>
      </c>
      <c r="K50" s="27" t="inlineStr">
        <is>
          <t>Scout 4
$</t>
        </is>
      </c>
      <c r="L50" s="27" t="inlineStr">
        <is>
          <t>Adult 3
$</t>
        </is>
      </c>
      <c r="M50" s="27" t="inlineStr">
        <is>
          <t>oz/unit</t>
        </is>
      </c>
      <c r="N50" s="27" t="inlineStr">
        <is>
          <t>Scout 3
oz</t>
        </is>
      </c>
      <c r="O50" s="27" t="inlineStr">
        <is>
          <t>Scout 4
oz</t>
        </is>
      </c>
      <c r="P50" s="27" t="inlineStr">
        <is>
          <t>Adult 3
oz</t>
        </is>
      </c>
      <c r="Q50" s="27" t="inlineStr">
        <is>
          <t>Notes</t>
        </is>
      </c>
    </row>
    <row r="51">
      <c r="A51" s="10" t="inlineStr">
        <is>
          <t>Chicken of the Sea Shredded Chicken Pouch</t>
        </is>
      </c>
      <c r="B51" s="9" t="n">
        <v>3</v>
      </c>
      <c r="C51" s="9" t="n">
        <v>4</v>
      </c>
      <c r="D51" s="9" t="n">
        <v>3</v>
      </c>
      <c r="E51" s="9" t="n">
        <v>150</v>
      </c>
      <c r="F51" s="33">
        <f>B51*E51</f>
        <v/>
      </c>
      <c r="G51" s="33">
        <f>C51*E51</f>
        <v/>
      </c>
      <c r="H51" s="33">
        <f>D51*E51</f>
        <v/>
      </c>
      <c r="I51" s="34" t="n">
        <v>2.29</v>
      </c>
      <c r="J51" s="34">
        <f>B51*I51</f>
        <v/>
      </c>
      <c r="K51" s="34">
        <f>C51*I51</f>
        <v/>
      </c>
      <c r="L51" s="34">
        <f>D51*I51</f>
        <v/>
      </c>
      <c r="M51" s="9" t="n">
        <v>2.5</v>
      </c>
      <c r="N51" s="35">
        <f>B51*M51</f>
        <v/>
      </c>
      <c r="O51" s="35">
        <f>C51*M51</f>
        <v/>
      </c>
      <c r="P51" s="35">
        <f>D51*M51</f>
        <v/>
      </c>
      <c r="Q51" s="10" t="inlineStr">
        <is>
          <t>1/person; nut-free ✓</t>
        </is>
      </c>
    </row>
    <row r="52">
      <c r="A52" s="7" t="inlineStr">
        <is>
          <t>Mission Street Taco Flour Tortillas</t>
        </is>
      </c>
      <c r="B52" s="6" t="n">
        <v>6</v>
      </c>
      <c r="C52" s="6" t="n">
        <v>8</v>
      </c>
      <c r="D52" s="6" t="n">
        <v>6</v>
      </c>
      <c r="E52" s="6" t="n">
        <v>75</v>
      </c>
      <c r="F52" s="36">
        <f>B52*E52</f>
        <v/>
      </c>
      <c r="G52" s="36">
        <f>C52*E52</f>
        <v/>
      </c>
      <c r="H52" s="36">
        <f>D52*E52</f>
        <v/>
      </c>
      <c r="I52" s="37" t="n">
        <v>0.25</v>
      </c>
      <c r="J52" s="37">
        <f>B52*I52</f>
        <v/>
      </c>
      <c r="K52" s="37">
        <f>C52*I52</f>
        <v/>
      </c>
      <c r="L52" s="37">
        <f>D52*I52</f>
        <v/>
      </c>
      <c r="M52" s="6" t="n">
        <v>0.5</v>
      </c>
      <c r="N52" s="38">
        <f>B52*M52</f>
        <v/>
      </c>
      <c r="O52" s="38">
        <f>C52*M52</f>
        <v/>
      </c>
      <c r="P52" s="38">
        <f>D52*M52</f>
        <v/>
      </c>
      <c r="Q52" s="7" t="inlineStr">
        <is>
          <t>2/person; nut-free ✓</t>
        </is>
      </c>
    </row>
    <row r="53">
      <c r="A53" s="10" t="inlineStr">
        <is>
          <t>Tillamook Cheddar Cheese Packets</t>
        </is>
      </c>
      <c r="B53" s="9" t="n">
        <v>3</v>
      </c>
      <c r="C53" s="9" t="n">
        <v>4</v>
      </c>
      <c r="D53" s="9" t="n">
        <v>3</v>
      </c>
      <c r="E53" s="9" t="n">
        <v>90</v>
      </c>
      <c r="F53" s="33">
        <f>B53*E53</f>
        <v/>
      </c>
      <c r="G53" s="33">
        <f>C53*E53</f>
        <v/>
      </c>
      <c r="H53" s="33">
        <f>D53*E53</f>
        <v/>
      </c>
      <c r="I53" s="34" t="n">
        <v>0.75</v>
      </c>
      <c r="J53" s="34">
        <f>B53*I53</f>
        <v/>
      </c>
      <c r="K53" s="34">
        <f>C53*I53</f>
        <v/>
      </c>
      <c r="L53" s="34">
        <f>D53*I53</f>
        <v/>
      </c>
      <c r="M53" s="9" t="n">
        <v>0.7</v>
      </c>
      <c r="N53" s="35">
        <f>B53*M53</f>
        <v/>
      </c>
      <c r="O53" s="35">
        <f>C53*M53</f>
        <v/>
      </c>
      <c r="P53" s="35">
        <f>D53*M53</f>
        <v/>
      </c>
      <c r="Q53" s="10" t="inlineStr">
        <is>
          <t>1/person; nut-free ✓</t>
        </is>
      </c>
    </row>
    <row r="54">
      <c r="A54" s="28" t="inlineStr">
        <is>
          <t>Clif Bar – Crunchy Peanut Butter</t>
        </is>
      </c>
      <c r="B54" s="29" t="n">
        <v>3</v>
      </c>
      <c r="C54" s="29" t="n">
        <v>4</v>
      </c>
      <c r="D54" s="29" t="n">
        <v>3</v>
      </c>
      <c r="E54" s="29" t="n">
        <v>250</v>
      </c>
      <c r="F54" s="30">
        <f>B54*E54</f>
        <v/>
      </c>
      <c r="G54" s="30">
        <f>C54*E54</f>
        <v/>
      </c>
      <c r="H54" s="30">
        <f>D54*E54</f>
        <v/>
      </c>
      <c r="I54" s="31" t="n">
        <v>1.29</v>
      </c>
      <c r="J54" s="31">
        <f>B54*I54</f>
        <v/>
      </c>
      <c r="K54" s="31">
        <f>C54*I54</f>
        <v/>
      </c>
      <c r="L54" s="31">
        <f>D54*I54</f>
        <v/>
      </c>
      <c r="M54" s="29" t="n">
        <v>2.4</v>
      </c>
      <c r="N54" s="32">
        <f>B54*M54</f>
        <v/>
      </c>
      <c r="O54" s="32">
        <f>C54*M54</f>
        <v/>
      </c>
      <c r="P54" s="32">
        <f>D54*M54</f>
        <v/>
      </c>
      <c r="Q54" s="28" t="inlineStr">
        <is>
          <t>⚠ NUT: swap → Clif Chocolate Chip for allergy scout</t>
        </is>
      </c>
    </row>
    <row r="55">
      <c r="A55" s="28" t="inlineStr">
        <is>
          <t>Justin's Classic PB Squeeze Pack</t>
        </is>
      </c>
      <c r="B55" s="29" t="n">
        <v>3</v>
      </c>
      <c r="C55" s="29" t="n">
        <v>4</v>
      </c>
      <c r="D55" s="29" t="n">
        <v>3</v>
      </c>
      <c r="E55" s="29" t="n">
        <v>210</v>
      </c>
      <c r="F55" s="30">
        <f>B55*E55</f>
        <v/>
      </c>
      <c r="G55" s="30">
        <f>C55*E55</f>
        <v/>
      </c>
      <c r="H55" s="30">
        <f>D55*E55</f>
        <v/>
      </c>
      <c r="I55" s="31" t="n">
        <v>1.49</v>
      </c>
      <c r="J55" s="31">
        <f>B55*I55</f>
        <v/>
      </c>
      <c r="K55" s="31">
        <f>C55*I55</f>
        <v/>
      </c>
      <c r="L55" s="31">
        <f>D55*I55</f>
        <v/>
      </c>
      <c r="M55" s="29" t="n">
        <v>1.15</v>
      </c>
      <c r="N55" s="32">
        <f>B55*M55</f>
        <v/>
      </c>
      <c r="O55" s="32">
        <f>C55*M55</f>
        <v/>
      </c>
      <c r="P55" s="32">
        <f>D55*M55</f>
        <v/>
      </c>
      <c r="Q55" s="28" t="inlineStr">
        <is>
          <t>⚠ NUT: swap → Sunflower Butter Squeeze for allergy scout</t>
        </is>
      </c>
    </row>
    <row r="56">
      <c r="A56" s="39" t="inlineStr">
        <is>
          <t>Lunch Total</t>
        </is>
      </c>
      <c r="B56" s="39" t="n"/>
      <c r="C56" s="39" t="n"/>
      <c r="D56" s="39" t="n"/>
      <c r="E56" s="39" t="n"/>
      <c r="F56" s="40">
        <f>SUM(F51:F55)</f>
        <v/>
      </c>
      <c r="G56" s="40">
        <f>SUM(G51:G55)</f>
        <v/>
      </c>
      <c r="H56" s="40">
        <f>SUM(H51:H55)</f>
        <v/>
      </c>
      <c r="I56" s="39" t="n"/>
      <c r="J56" s="41">
        <f>SUM(J51:J55)</f>
        <v/>
      </c>
      <c r="K56" s="41">
        <f>SUM(K51:K55)</f>
        <v/>
      </c>
      <c r="L56" s="41">
        <f>SUM(L51:L55)</f>
        <v/>
      </c>
      <c r="M56" s="39" t="n"/>
      <c r="N56" s="42">
        <f>SUM(N51:N55)</f>
        <v/>
      </c>
      <c r="O56" s="42">
        <f>SUM(O51:O55)</f>
        <v/>
      </c>
      <c r="P56" s="42">
        <f>SUM(P51:P55)</f>
        <v/>
      </c>
      <c r="Q56" s="39" t="n"/>
    </row>
    <row r="57" ht="24" customHeight="1">
      <c r="A57" s="26" t="inlineStr">
        <is>
          <t>SUN APR 5 — DINNER (hot, communal — Maggie's Half Acre)</t>
        </is>
      </c>
    </row>
    <row r="58" ht="30" customHeight="1">
      <c r="A58" s="27" t="inlineStr">
        <is>
          <t>Food Item</t>
        </is>
      </c>
      <c r="B58" s="27" t="inlineStr">
        <is>
          <t>Qty
(Scout 3)</t>
        </is>
      </c>
      <c r="C58" s="27" t="inlineStr">
        <is>
          <t>Qty
(Scout 4)</t>
        </is>
      </c>
      <c r="D58" s="27" t="inlineStr">
        <is>
          <t>Qty
(Adult 3)</t>
        </is>
      </c>
      <c r="E58" s="27" t="inlineStr">
        <is>
          <t>kcal/unit</t>
        </is>
      </c>
      <c r="F58" s="27" t="inlineStr">
        <is>
          <t>Scout 3
kcal</t>
        </is>
      </c>
      <c r="G58" s="27" t="inlineStr">
        <is>
          <t>Scout 4
kcal</t>
        </is>
      </c>
      <c r="H58" s="27" t="inlineStr">
        <is>
          <t>Adult 3
kcal</t>
        </is>
      </c>
      <c r="I58" s="27" t="inlineStr">
        <is>
          <t>$/unit</t>
        </is>
      </c>
      <c r="J58" s="27" t="inlineStr">
        <is>
          <t>Scout 3
$</t>
        </is>
      </c>
      <c r="K58" s="27" t="inlineStr">
        <is>
          <t>Scout 4
$</t>
        </is>
      </c>
      <c r="L58" s="27" t="inlineStr">
        <is>
          <t>Adult 3
$</t>
        </is>
      </c>
      <c r="M58" s="27" t="inlineStr">
        <is>
          <t>oz/unit</t>
        </is>
      </c>
      <c r="N58" s="27" t="inlineStr">
        <is>
          <t>Scout 3
oz</t>
        </is>
      </c>
      <c r="O58" s="27" t="inlineStr">
        <is>
          <t>Scout 4
oz</t>
        </is>
      </c>
      <c r="P58" s="27" t="inlineStr">
        <is>
          <t>Adult 3
oz</t>
        </is>
      </c>
      <c r="Q58" s="27" t="inlineStr">
        <is>
          <t>Notes</t>
        </is>
      </c>
    </row>
    <row r="59">
      <c r="A59" s="10" t="inlineStr">
        <is>
          <t>Peak Refuel – Beef Stroganoff</t>
        </is>
      </c>
      <c r="B59" s="9" t="n">
        <v>2</v>
      </c>
      <c r="C59" s="9" t="n">
        <v>3</v>
      </c>
      <c r="D59" s="9" t="n">
        <v>3</v>
      </c>
      <c r="E59" s="9" t="n">
        <v>600</v>
      </c>
      <c r="F59" s="33">
        <f>B59*E59</f>
        <v/>
      </c>
      <c r="G59" s="33">
        <f>C59*E59</f>
        <v/>
      </c>
      <c r="H59" s="33">
        <f>D59*E59</f>
        <v/>
      </c>
      <c r="I59" s="34" t="n">
        <v>7.49</v>
      </c>
      <c r="J59" s="34">
        <f>B59*I59</f>
        <v/>
      </c>
      <c r="K59" s="34">
        <f>C59*I59</f>
        <v/>
      </c>
      <c r="L59" s="34">
        <f>D59*I59</f>
        <v/>
      </c>
      <c r="M59" s="9" t="n">
        <v>3.5</v>
      </c>
      <c r="N59" s="35">
        <f>B59*M59</f>
        <v/>
      </c>
      <c r="O59" s="35">
        <f>C59*M59</f>
        <v/>
      </c>
      <c r="P59" s="35">
        <f>D59*M59</f>
        <v/>
      </c>
      <c r="Q59" s="10" t="inlineStr">
        <is>
          <t>Scout 3: 2 pouches · Scout 4: 3 pouches · Adult 3: 3 pouches</t>
        </is>
      </c>
    </row>
    <row r="60">
      <c r="A60" s="7" t="inlineStr">
        <is>
          <t>Mission Street Taco Flour Tortillas</t>
        </is>
      </c>
      <c r="B60" s="6" t="n">
        <v>6</v>
      </c>
      <c r="C60" s="6" t="n">
        <v>8</v>
      </c>
      <c r="D60" s="6" t="n">
        <v>6</v>
      </c>
      <c r="E60" s="6" t="n">
        <v>75</v>
      </c>
      <c r="F60" s="36">
        <f>B60*E60</f>
        <v/>
      </c>
      <c r="G60" s="36">
        <f>C60*E60</f>
        <v/>
      </c>
      <c r="H60" s="36">
        <f>D60*E60</f>
        <v/>
      </c>
      <c r="I60" s="37" t="n">
        <v>0.25</v>
      </c>
      <c r="J60" s="37">
        <f>B60*I60</f>
        <v/>
      </c>
      <c r="K60" s="37">
        <f>C60*I60</f>
        <v/>
      </c>
      <c r="L60" s="37">
        <f>D60*I60</f>
        <v/>
      </c>
      <c r="M60" s="6" t="n">
        <v>0.5</v>
      </c>
      <c r="N60" s="38">
        <f>B60*M60</f>
        <v/>
      </c>
      <c r="O60" s="38">
        <f>C60*M60</f>
        <v/>
      </c>
      <c r="P60" s="38">
        <f>D60*M60</f>
        <v/>
      </c>
      <c r="Q60" s="7" t="inlineStr">
        <is>
          <t>2/person; nut-free ✓</t>
        </is>
      </c>
    </row>
    <row r="61">
      <c r="A61" s="10" t="inlineStr">
        <is>
          <t>Idahoan Mashed Potatoes – Butter &amp; Herb</t>
        </is>
      </c>
      <c r="B61" s="9" t="n">
        <v>3</v>
      </c>
      <c r="C61" s="9" t="n">
        <v>4</v>
      </c>
      <c r="D61" s="9" t="n">
        <v>3</v>
      </c>
      <c r="E61" s="9" t="n">
        <v>110</v>
      </c>
      <c r="F61" s="33">
        <f>B61*E61</f>
        <v/>
      </c>
      <c r="G61" s="33">
        <f>C61*E61</f>
        <v/>
      </c>
      <c r="H61" s="33">
        <f>D61*E61</f>
        <v/>
      </c>
      <c r="I61" s="34" t="n">
        <v>0.98</v>
      </c>
      <c r="J61" s="34">
        <f>B61*I61</f>
        <v/>
      </c>
      <c r="K61" s="34">
        <f>C61*I61</f>
        <v/>
      </c>
      <c r="L61" s="34">
        <f>D61*I61</f>
        <v/>
      </c>
      <c r="M61" s="9" t="n">
        <v>1</v>
      </c>
      <c r="N61" s="35">
        <f>B61*M61</f>
        <v/>
      </c>
      <c r="O61" s="35">
        <f>C61*M61</f>
        <v/>
      </c>
      <c r="P61" s="35">
        <f>D61*M61</f>
        <v/>
      </c>
      <c r="Q61" s="10" t="inlineStr">
        <is>
          <t>1/person; nut-free ✓</t>
        </is>
      </c>
    </row>
    <row r="62">
      <c r="A62" s="7" t="inlineStr">
        <is>
          <t>Swiss Miss Hot Chocolate</t>
        </is>
      </c>
      <c r="B62" s="6" t="n">
        <v>6</v>
      </c>
      <c r="C62" s="6" t="n">
        <v>8</v>
      </c>
      <c r="D62" s="6" t="n">
        <v>0</v>
      </c>
      <c r="E62" s="6" t="n">
        <v>90</v>
      </c>
      <c r="F62" s="36">
        <f>B62*E62</f>
        <v/>
      </c>
      <c r="G62" s="36">
        <f>C62*E62</f>
        <v/>
      </c>
      <c r="H62" s="36">
        <f>D62*E62</f>
        <v/>
      </c>
      <c r="I62" s="37" t="n">
        <v>0.38</v>
      </c>
      <c r="J62" s="37">
        <f>B62*I62</f>
        <v/>
      </c>
      <c r="K62" s="37">
        <f>C62*I62</f>
        <v/>
      </c>
      <c r="L62" s="37">
        <f>D62*I62</f>
        <v/>
      </c>
      <c r="M62" s="6" t="n">
        <v>0.73</v>
      </c>
      <c r="N62" s="38">
        <f>B62*M62</f>
        <v/>
      </c>
      <c r="O62" s="38">
        <f>C62*M62</f>
        <v/>
      </c>
      <c r="P62" s="38">
        <f>D62*M62</f>
        <v/>
      </c>
      <c r="Q62" s="7" t="inlineStr">
        <is>
          <t>Scout cans only (2/scout); Adults: own coffee/tea</t>
        </is>
      </c>
    </row>
    <row r="63">
      <c r="A63" s="39" t="inlineStr">
        <is>
          <t>Dinner Total</t>
        </is>
      </c>
      <c r="B63" s="39" t="n"/>
      <c r="C63" s="39" t="n"/>
      <c r="D63" s="39" t="n"/>
      <c r="E63" s="39" t="n"/>
      <c r="F63" s="40">
        <f>SUM(F59:F62)</f>
        <v/>
      </c>
      <c r="G63" s="40">
        <f>SUM(G59:G62)</f>
        <v/>
      </c>
      <c r="H63" s="40">
        <f>SUM(H59:H62)</f>
        <v/>
      </c>
      <c r="I63" s="39" t="n"/>
      <c r="J63" s="41">
        <f>SUM(J59:J62)</f>
        <v/>
      </c>
      <c r="K63" s="41">
        <f>SUM(K59:K62)</f>
        <v/>
      </c>
      <c r="L63" s="41">
        <f>SUM(L59:L62)</f>
        <v/>
      </c>
      <c r="M63" s="39" t="n"/>
      <c r="N63" s="42">
        <f>SUM(N59:N62)</f>
        <v/>
      </c>
      <c r="O63" s="42">
        <f>SUM(O59:O62)</f>
        <v/>
      </c>
      <c r="P63" s="42">
        <f>SUM(P59:P62)</f>
        <v/>
      </c>
      <c r="Q63" s="39" t="n"/>
    </row>
    <row r="64" ht="24" customHeight="1">
      <c r="A64" s="26" t="inlineStr">
        <is>
          <t>SUN APR 5 — DESSERT (Justin's Dark Choc PB Cups)</t>
        </is>
      </c>
    </row>
    <row r="65" ht="30" customHeight="1">
      <c r="A65" s="27" t="inlineStr">
        <is>
          <t>Food Item</t>
        </is>
      </c>
      <c r="B65" s="27" t="inlineStr">
        <is>
          <t>Qty
(Scout 3)</t>
        </is>
      </c>
      <c r="C65" s="27" t="inlineStr">
        <is>
          <t>Qty
(Scout 4)</t>
        </is>
      </c>
      <c r="D65" s="27" t="inlineStr">
        <is>
          <t>Qty
(Adult 3)</t>
        </is>
      </c>
      <c r="E65" s="27" t="inlineStr">
        <is>
          <t>kcal/unit</t>
        </is>
      </c>
      <c r="F65" s="27" t="inlineStr">
        <is>
          <t>Scout 3
kcal</t>
        </is>
      </c>
      <c r="G65" s="27" t="inlineStr">
        <is>
          <t>Scout 4
kcal</t>
        </is>
      </c>
      <c r="H65" s="27" t="inlineStr">
        <is>
          <t>Adult 3
kcal</t>
        </is>
      </c>
      <c r="I65" s="27" t="inlineStr">
        <is>
          <t>$/unit</t>
        </is>
      </c>
      <c r="J65" s="27" t="inlineStr">
        <is>
          <t>Scout 3
$</t>
        </is>
      </c>
      <c r="K65" s="27" t="inlineStr">
        <is>
          <t>Scout 4
$</t>
        </is>
      </c>
      <c r="L65" s="27" t="inlineStr">
        <is>
          <t>Adult 3
$</t>
        </is>
      </c>
      <c r="M65" s="27" t="inlineStr">
        <is>
          <t>oz/unit</t>
        </is>
      </c>
      <c r="N65" s="27" t="inlineStr">
        <is>
          <t>Scout 3
oz</t>
        </is>
      </c>
      <c r="O65" s="27" t="inlineStr">
        <is>
          <t>Scout 4
oz</t>
        </is>
      </c>
      <c r="P65" s="27" t="inlineStr">
        <is>
          <t>Adult 3
oz</t>
        </is>
      </c>
      <c r="Q65" s="27" t="inlineStr">
        <is>
          <t>Notes</t>
        </is>
      </c>
    </row>
    <row r="66">
      <c r="A66" s="28" t="inlineStr">
        <is>
          <t>Justin's Dark Chocolate Peanut Butter Cups</t>
        </is>
      </c>
      <c r="B66" s="29" t="n">
        <v>3</v>
      </c>
      <c r="C66" s="29" t="n">
        <v>4</v>
      </c>
      <c r="D66" s="29" t="n">
        <v>3</v>
      </c>
      <c r="E66" s="29" t="n">
        <v>220</v>
      </c>
      <c r="F66" s="30">
        <f>B66*E66</f>
        <v/>
      </c>
      <c r="G66" s="30">
        <f>C66*E66</f>
        <v/>
      </c>
      <c r="H66" s="30">
        <f>D66*E66</f>
        <v/>
      </c>
      <c r="I66" s="31" t="n">
        <v>1.49</v>
      </c>
      <c r="J66" s="31">
        <f>B66*I66</f>
        <v/>
      </c>
      <c r="K66" s="31">
        <f>C66*I66</f>
        <v/>
      </c>
      <c r="L66" s="31">
        <f>D66*I66</f>
        <v/>
      </c>
      <c r="M66" s="29" t="n">
        <v>1.41</v>
      </c>
      <c r="N66" s="32">
        <f>B66*M66</f>
        <v/>
      </c>
      <c r="O66" s="32">
        <f>C66*M66</f>
        <v/>
      </c>
      <c r="P66" s="32">
        <f>D66*M66</f>
        <v/>
      </c>
      <c r="Q66" s="28" t="inlineStr">
        <is>
          <t>1/person; ⚠ NUT: swap → Honey Stinger waffle for allergy scout</t>
        </is>
      </c>
    </row>
    <row r="67">
      <c r="A67" s="39" t="inlineStr">
        <is>
          <t>Dessert Total</t>
        </is>
      </c>
      <c r="B67" s="39" t="n"/>
      <c r="C67" s="39" t="n"/>
      <c r="D67" s="39" t="n"/>
      <c r="E67" s="39" t="n"/>
      <c r="F67" s="40">
        <f>SUM(F66:F66)</f>
        <v/>
      </c>
      <c r="G67" s="40">
        <f>SUM(G66:G66)</f>
        <v/>
      </c>
      <c r="H67" s="40">
        <f>SUM(H66:H66)</f>
        <v/>
      </c>
      <c r="I67" s="39" t="n"/>
      <c r="J67" s="41">
        <f>SUM(J66:J66)</f>
        <v/>
      </c>
      <c r="K67" s="41">
        <f>SUM(K66:K66)</f>
        <v/>
      </c>
      <c r="L67" s="41">
        <f>SUM(L66:L66)</f>
        <v/>
      </c>
      <c r="M67" s="39" t="n"/>
      <c r="N67" s="42">
        <f>SUM(N66:N66)</f>
        <v/>
      </c>
      <c r="O67" s="42">
        <f>SUM(O66:O66)</f>
        <v/>
      </c>
      <c r="P67" s="42">
        <f>SUM(P66:P66)</f>
        <v/>
      </c>
      <c r="Q67" s="39" t="n"/>
    </row>
    <row r="68">
      <c r="A68" s="43" t="inlineStr">
        <is>
          <t>SUN APR 5 — DAILY TOTAL (Per Bear Can)</t>
        </is>
      </c>
      <c r="B68" s="43" t="n"/>
      <c r="C68" s="43" t="n"/>
      <c r="D68" s="43" t="n"/>
      <c r="E68" s="43" t="n"/>
      <c r="F68" s="44">
        <f>F36+F43+F48+F56+F63+F67</f>
        <v/>
      </c>
      <c r="G68" s="44">
        <f>G36+G43+G48+G56+G63+G67</f>
        <v/>
      </c>
      <c r="H68" s="44">
        <f>H36+H43+H48+H56+H63+H67</f>
        <v/>
      </c>
      <c r="I68" s="43" t="n"/>
      <c r="J68" s="45">
        <f>J36+J43+J48+J56+J63+J67</f>
        <v/>
      </c>
      <c r="K68" s="45">
        <f>K36+K43+K48+K56+K63+K67</f>
        <v/>
      </c>
      <c r="L68" s="45">
        <f>L36+L43+L48+L56+L63+L67</f>
        <v/>
      </c>
      <c r="M68" s="43" t="n"/>
      <c r="N68" s="46">
        <f>N36+N43+N48+N56+N63+N67</f>
        <v/>
      </c>
      <c r="O68" s="46">
        <f>O36+O43+O48+O56+O63+O67</f>
        <v/>
      </c>
      <c r="P68" s="46">
        <f>P36+P43+P48+P56+P63+P67</f>
        <v/>
      </c>
      <c r="Q68" s="43" t="n"/>
    </row>
    <row r="69">
      <c r="A69" s="47" t="inlineStr">
        <is>
          <t>SUN APR 5 — CALORIES DELIVERED PER PERSON</t>
        </is>
      </c>
      <c r="B69" s="47" t="n"/>
      <c r="C69" s="47" t="n"/>
      <c r="D69" s="47" t="n"/>
      <c r="E69" s="47" t="n"/>
      <c r="F69" s="48">
        <f>F68/3</f>
        <v/>
      </c>
      <c r="G69" s="48">
        <f>G68/4</f>
        <v/>
      </c>
      <c r="H69" s="48">
        <f>H68/3</f>
        <v/>
      </c>
      <c r="I69" s="47" t="n"/>
      <c r="J69" s="47" t="n"/>
      <c r="K69" s="47" t="n"/>
      <c r="L69" s="47" t="n"/>
      <c r="M69" s="47" t="n"/>
      <c r="N69" s="47" t="n"/>
      <c r="O69" s="47" t="n"/>
      <c r="P69" s="47" t="n"/>
      <c r="Q69" s="47" t="n"/>
    </row>
    <row r="70" ht="24" customHeight="1">
      <c r="A70" s="26" t="inlineStr">
        <is>
          <t>MON APR 6 — BREAKFAST (grab &amp; go — ProBar Meal)</t>
        </is>
      </c>
    </row>
    <row r="71" ht="30" customHeight="1">
      <c r="A71" s="27" t="inlineStr">
        <is>
          <t>Food Item</t>
        </is>
      </c>
      <c r="B71" s="27" t="inlineStr">
        <is>
          <t>Qty
(Scout 3)</t>
        </is>
      </c>
      <c r="C71" s="27" t="inlineStr">
        <is>
          <t>Qty
(Scout 4)</t>
        </is>
      </c>
      <c r="D71" s="27" t="inlineStr">
        <is>
          <t>Qty
(Adult 3)</t>
        </is>
      </c>
      <c r="E71" s="27" t="inlineStr">
        <is>
          <t>kcal/unit</t>
        </is>
      </c>
      <c r="F71" s="27" t="inlineStr">
        <is>
          <t>Scout 3
kcal</t>
        </is>
      </c>
      <c r="G71" s="27" t="inlineStr">
        <is>
          <t>Scout 4
kcal</t>
        </is>
      </c>
      <c r="H71" s="27" t="inlineStr">
        <is>
          <t>Adult 3
kcal</t>
        </is>
      </c>
      <c r="I71" s="27" t="inlineStr">
        <is>
          <t>$/unit</t>
        </is>
      </c>
      <c r="J71" s="27" t="inlineStr">
        <is>
          <t>Scout 3
$</t>
        </is>
      </c>
      <c r="K71" s="27" t="inlineStr">
        <is>
          <t>Scout 4
$</t>
        </is>
      </c>
      <c r="L71" s="27" t="inlineStr">
        <is>
          <t>Adult 3
$</t>
        </is>
      </c>
      <c r="M71" s="27" t="inlineStr">
        <is>
          <t>oz/unit</t>
        </is>
      </c>
      <c r="N71" s="27" t="inlineStr">
        <is>
          <t>Scout 3
oz</t>
        </is>
      </c>
      <c r="O71" s="27" t="inlineStr">
        <is>
          <t>Scout 4
oz</t>
        </is>
      </c>
      <c r="P71" s="27" t="inlineStr">
        <is>
          <t>Adult 3
oz</t>
        </is>
      </c>
      <c r="Q71" s="27" t="inlineStr">
        <is>
          <t>Notes</t>
        </is>
      </c>
    </row>
    <row r="72">
      <c r="A72" s="28" t="inlineStr">
        <is>
          <t>ProBar Meal – Oatmeal Chocolate Chip</t>
        </is>
      </c>
      <c r="B72" s="29" t="n">
        <v>3</v>
      </c>
      <c r="C72" s="29" t="n">
        <v>4</v>
      </c>
      <c r="D72" s="29" t="n">
        <v>3</v>
      </c>
      <c r="E72" s="29" t="n">
        <v>410</v>
      </c>
      <c r="F72" s="30">
        <f>B72*E72</f>
        <v/>
      </c>
      <c r="G72" s="30">
        <f>C72*E72</f>
        <v/>
      </c>
      <c r="H72" s="30">
        <f>D72*E72</f>
        <v/>
      </c>
      <c r="I72" s="31" t="n">
        <v>2.99</v>
      </c>
      <c r="J72" s="31">
        <f>B72*I72</f>
        <v/>
      </c>
      <c r="K72" s="31">
        <f>C72*I72</f>
        <v/>
      </c>
      <c r="L72" s="31">
        <f>D72*I72</f>
        <v/>
      </c>
      <c r="M72" s="29" t="n">
        <v>3</v>
      </c>
      <c r="N72" s="32">
        <f>B72*M72</f>
        <v/>
      </c>
      <c r="O72" s="32">
        <f>C72*M72</f>
        <v/>
      </c>
      <c r="P72" s="32">
        <f>D72*M72</f>
        <v/>
      </c>
      <c r="Q72" s="28" t="inlineStr">
        <is>
          <t>1/person; ⚠ NUT (cashews): swap → No Nuts! bar for allergy scout</t>
        </is>
      </c>
    </row>
    <row r="73">
      <c r="A73" s="10" t="inlineStr">
        <is>
          <t>Swiss Miss Hot Chocolate</t>
        </is>
      </c>
      <c r="B73" s="9" t="n">
        <v>6</v>
      </c>
      <c r="C73" s="9" t="n">
        <v>8</v>
      </c>
      <c r="D73" s="9" t="n">
        <v>0</v>
      </c>
      <c r="E73" s="9" t="n">
        <v>90</v>
      </c>
      <c r="F73" s="33">
        <f>B73*E73</f>
        <v/>
      </c>
      <c r="G73" s="33">
        <f>C73*E73</f>
        <v/>
      </c>
      <c r="H73" s="33">
        <f>D73*E73</f>
        <v/>
      </c>
      <c r="I73" s="34" t="n">
        <v>0.38</v>
      </c>
      <c r="J73" s="34">
        <f>B73*I73</f>
        <v/>
      </c>
      <c r="K73" s="34">
        <f>C73*I73</f>
        <v/>
      </c>
      <c r="L73" s="34">
        <f>D73*I73</f>
        <v/>
      </c>
      <c r="M73" s="9" t="n">
        <v>0.73</v>
      </c>
      <c r="N73" s="35">
        <f>B73*M73</f>
        <v/>
      </c>
      <c r="O73" s="35">
        <f>C73*M73</f>
        <v/>
      </c>
      <c r="P73" s="35">
        <f>D73*M73</f>
        <v/>
      </c>
      <c r="Q73" s="10" t="inlineStr">
        <is>
          <t>Scout cans only — boil water for drinks ONLY</t>
        </is>
      </c>
    </row>
    <row r="74">
      <c r="A74" s="39" t="inlineStr">
        <is>
          <t>Breakfast Total</t>
        </is>
      </c>
      <c r="B74" s="39" t="n"/>
      <c r="C74" s="39" t="n"/>
      <c r="D74" s="39" t="n"/>
      <c r="E74" s="39" t="n"/>
      <c r="F74" s="40">
        <f>SUM(F72:F73)</f>
        <v/>
      </c>
      <c r="G74" s="40">
        <f>SUM(G72:G73)</f>
        <v/>
      </c>
      <c r="H74" s="40">
        <f>SUM(H72:H73)</f>
        <v/>
      </c>
      <c r="I74" s="39" t="n"/>
      <c r="J74" s="41">
        <f>SUM(J72:J73)</f>
        <v/>
      </c>
      <c r="K74" s="41">
        <f>SUM(K72:K73)</f>
        <v/>
      </c>
      <c r="L74" s="41">
        <f>SUM(L72:L73)</f>
        <v/>
      </c>
      <c r="M74" s="39" t="n"/>
      <c r="N74" s="42">
        <f>SUM(N72:N73)</f>
        <v/>
      </c>
      <c r="O74" s="42">
        <f>SUM(O72:O73)</f>
        <v/>
      </c>
      <c r="P74" s="42">
        <f>SUM(P72:P73)</f>
        <v/>
      </c>
      <c r="Q74" s="39" t="n"/>
    </row>
    <row r="75" ht="24" customHeight="1">
      <c r="A75" s="54" t="inlineStr">
        <is>
          <t>MON APR 6 — SNACKS (hip-belt pocket)</t>
        </is>
      </c>
    </row>
    <row r="76" ht="30" customHeight="1">
      <c r="A76" s="27" t="inlineStr">
        <is>
          <t>Food Item</t>
        </is>
      </c>
      <c r="B76" s="27" t="inlineStr">
        <is>
          <t>Qty
(Scout 3)</t>
        </is>
      </c>
      <c r="C76" s="27" t="inlineStr">
        <is>
          <t>Qty
(Scout 4)</t>
        </is>
      </c>
      <c r="D76" s="27" t="inlineStr">
        <is>
          <t>Qty
(Adult 3)</t>
        </is>
      </c>
      <c r="E76" s="27" t="inlineStr">
        <is>
          <t>kcal/unit</t>
        </is>
      </c>
      <c r="F76" s="27" t="inlineStr">
        <is>
          <t>Scout 3
kcal</t>
        </is>
      </c>
      <c r="G76" s="27" t="inlineStr">
        <is>
          <t>Scout 4
kcal</t>
        </is>
      </c>
      <c r="H76" s="27" t="inlineStr">
        <is>
          <t>Adult 3
kcal</t>
        </is>
      </c>
      <c r="I76" s="27" t="inlineStr">
        <is>
          <t>$/unit</t>
        </is>
      </c>
      <c r="J76" s="27" t="inlineStr">
        <is>
          <t>Scout 3
$</t>
        </is>
      </c>
      <c r="K76" s="27" t="inlineStr">
        <is>
          <t>Scout 4
$</t>
        </is>
      </c>
      <c r="L76" s="27" t="inlineStr">
        <is>
          <t>Adult 3
$</t>
        </is>
      </c>
      <c r="M76" s="27" t="inlineStr">
        <is>
          <t>oz/unit</t>
        </is>
      </c>
      <c r="N76" s="27" t="inlineStr">
        <is>
          <t>Scout 3
oz</t>
        </is>
      </c>
      <c r="O76" s="27" t="inlineStr">
        <is>
          <t>Scout 4
oz</t>
        </is>
      </c>
      <c r="P76" s="27" t="inlineStr">
        <is>
          <t>Adult 3
oz</t>
        </is>
      </c>
      <c r="Q76" s="27" t="inlineStr">
        <is>
          <t>Notes</t>
        </is>
      </c>
    </row>
    <row r="77">
      <c r="A77" s="28" t="inlineStr">
        <is>
          <t>Clif Bar – Crunchy Peanut Butter</t>
        </is>
      </c>
      <c r="B77" s="29" t="n">
        <v>3</v>
      </c>
      <c r="C77" s="29" t="n">
        <v>4</v>
      </c>
      <c r="D77" s="29" t="n">
        <v>3</v>
      </c>
      <c r="E77" s="29" t="n">
        <v>250</v>
      </c>
      <c r="F77" s="30">
        <f>B77*E77</f>
        <v/>
      </c>
      <c r="G77" s="30">
        <f>C77*E77</f>
        <v/>
      </c>
      <c r="H77" s="30">
        <f>D77*E77</f>
        <v/>
      </c>
      <c r="I77" s="31" t="n">
        <v>1.29</v>
      </c>
      <c r="J77" s="31">
        <f>B77*I77</f>
        <v/>
      </c>
      <c r="K77" s="31">
        <f>C77*I77</f>
        <v/>
      </c>
      <c r="L77" s="31">
        <f>D77*I77</f>
        <v/>
      </c>
      <c r="M77" s="29" t="n">
        <v>2.4</v>
      </c>
      <c r="N77" s="32">
        <f>B77*M77</f>
        <v/>
      </c>
      <c r="O77" s="32">
        <f>C77*M77</f>
        <v/>
      </c>
      <c r="P77" s="32">
        <f>D77*M77</f>
        <v/>
      </c>
      <c r="Q77" s="28" t="inlineStr">
        <is>
          <t>⚠ NUT: swap → Clif Chocolate Chip for allergy scout</t>
        </is>
      </c>
    </row>
    <row r="78">
      <c r="A78" s="7" t="inlineStr">
        <is>
          <t>Krave Sea Salt Original Beef Jerky</t>
        </is>
      </c>
      <c r="B78" s="6" t="n">
        <v>3</v>
      </c>
      <c r="C78" s="6" t="n">
        <v>4</v>
      </c>
      <c r="D78" s="6" t="n">
        <v>3</v>
      </c>
      <c r="E78" s="6" t="n">
        <v>140</v>
      </c>
      <c r="F78" s="36">
        <f>B78*E78</f>
        <v/>
      </c>
      <c r="G78" s="36">
        <f>C78*E78</f>
        <v/>
      </c>
      <c r="H78" s="36">
        <f>D78*E78</f>
        <v/>
      </c>
      <c r="I78" s="37" t="n">
        <v>2.19</v>
      </c>
      <c r="J78" s="37">
        <f>B78*I78</f>
        <v/>
      </c>
      <c r="K78" s="37">
        <f>C78*I78</f>
        <v/>
      </c>
      <c r="L78" s="37">
        <f>D78*I78</f>
        <v/>
      </c>
      <c r="M78" s="6" t="n">
        <v>1.48</v>
      </c>
      <c r="N78" s="38">
        <f>B78*M78</f>
        <v/>
      </c>
      <c r="O78" s="38">
        <f>C78*M78</f>
        <v/>
      </c>
      <c r="P78" s="38">
        <f>D78*M78</f>
        <v/>
      </c>
      <c r="Q78" s="7" t="inlineStr">
        <is>
          <t>Safe ✓</t>
        </is>
      </c>
    </row>
    <row r="79">
      <c r="A79" s="10" t="inlineStr">
        <is>
          <t>Gatorade Powder Pack</t>
        </is>
      </c>
      <c r="B79" s="9" t="n">
        <v>3</v>
      </c>
      <c r="C79" s="9" t="n">
        <v>4</v>
      </c>
      <c r="D79" s="9" t="n">
        <v>3</v>
      </c>
      <c r="E79" s="9" t="n">
        <v>130</v>
      </c>
      <c r="F79" s="33">
        <f>B79*E79</f>
        <v/>
      </c>
      <c r="G79" s="33">
        <f>C79*E79</f>
        <v/>
      </c>
      <c r="H79" s="33">
        <f>D79*E79</f>
        <v/>
      </c>
      <c r="I79" s="34" t="n">
        <v>0.38</v>
      </c>
      <c r="J79" s="34">
        <f>B79*I79</f>
        <v/>
      </c>
      <c r="K79" s="34">
        <f>C79*I79</f>
        <v/>
      </c>
      <c r="L79" s="34">
        <f>D79*I79</f>
        <v/>
      </c>
      <c r="M79" s="9" t="n">
        <v>1.23</v>
      </c>
      <c r="N79" s="35">
        <f>B79*M79</f>
        <v/>
      </c>
      <c r="O79" s="35">
        <f>C79*M79</f>
        <v/>
      </c>
      <c r="P79" s="35">
        <f>D79*M79</f>
        <v/>
      </c>
      <c r="Q79" s="10" t="inlineStr">
        <is>
          <t>×1/person</t>
        </is>
      </c>
    </row>
    <row r="80">
      <c r="A80" s="7" t="inlineStr">
        <is>
          <t>Peak Refuel – Fudge Brownie Bites</t>
        </is>
      </c>
      <c r="B80" s="6" t="n">
        <v>2</v>
      </c>
      <c r="C80" s="6" t="n">
        <v>2</v>
      </c>
      <c r="D80" s="6" t="n">
        <v>2</v>
      </c>
      <c r="E80" s="6" t="n">
        <v>300</v>
      </c>
      <c r="F80" s="36">
        <f>B80*E80</f>
        <v/>
      </c>
      <c r="G80" s="36">
        <f>C80*E80</f>
        <v/>
      </c>
      <c r="H80" s="36">
        <f>D80*E80</f>
        <v/>
      </c>
      <c r="I80" s="37" t="n">
        <v>4.99</v>
      </c>
      <c r="J80" s="37">
        <f>B80*I80</f>
        <v/>
      </c>
      <c r="K80" s="37">
        <f>C80*I80</f>
        <v/>
      </c>
      <c r="L80" s="37">
        <f>D80*I80</f>
        <v/>
      </c>
      <c r="M80" s="6" t="n">
        <v>1.5</v>
      </c>
      <c r="N80" s="38">
        <f>B80*M80</f>
        <v/>
      </c>
      <c r="O80" s="38">
        <f>C80*M80</f>
        <v/>
      </c>
      <c r="P80" s="38">
        <f>D80*M80</f>
        <v/>
      </c>
      <c r="Q80" s="7" t="inlineStr">
        <is>
          <t>Mon afternoon snack · no cook · nut-free ✓</t>
        </is>
      </c>
    </row>
    <row r="81">
      <c r="A81" s="39" t="inlineStr">
        <is>
          <t>Snacks Total</t>
        </is>
      </c>
      <c r="B81" s="39" t="n"/>
      <c r="C81" s="39" t="n"/>
      <c r="D81" s="39" t="n"/>
      <c r="E81" s="39" t="n"/>
      <c r="F81" s="40">
        <f>SUM(F77:F80)</f>
        <v/>
      </c>
      <c r="G81" s="40">
        <f>SUM(G77:G80)</f>
        <v/>
      </c>
      <c r="H81" s="40">
        <f>SUM(H77:H80)</f>
        <v/>
      </c>
      <c r="I81" s="39" t="n"/>
      <c r="J81" s="41">
        <f>SUM(J77:J80)</f>
        <v/>
      </c>
      <c r="K81" s="41">
        <f>SUM(K77:K80)</f>
        <v/>
      </c>
      <c r="L81" s="41">
        <f>SUM(L77:L80)</f>
        <v/>
      </c>
      <c r="M81" s="39" t="n"/>
      <c r="N81" s="42">
        <f>SUM(N77:N80)</f>
        <v/>
      </c>
      <c r="O81" s="42">
        <f>SUM(O77:O80)</f>
        <v/>
      </c>
      <c r="P81" s="42">
        <f>SUM(P77:P80)</f>
        <v/>
      </c>
      <c r="Q81" s="39" t="n"/>
    </row>
    <row r="82" ht="24" customHeight="1">
      <c r="A82" s="54" t="inlineStr">
        <is>
          <t>MON APR 6 — LUNCH (NO COOK — PB wraps)</t>
        </is>
      </c>
    </row>
    <row r="83" ht="30" customHeight="1">
      <c r="A83" s="27" t="inlineStr">
        <is>
          <t>Food Item</t>
        </is>
      </c>
      <c r="B83" s="27" t="inlineStr">
        <is>
          <t>Qty
(Scout 3)</t>
        </is>
      </c>
      <c r="C83" s="27" t="inlineStr">
        <is>
          <t>Qty
(Scout 4)</t>
        </is>
      </c>
      <c r="D83" s="27" t="inlineStr">
        <is>
          <t>Qty
(Adult 3)</t>
        </is>
      </c>
      <c r="E83" s="27" t="inlineStr">
        <is>
          <t>kcal/unit</t>
        </is>
      </c>
      <c r="F83" s="27" t="inlineStr">
        <is>
          <t>Scout 3
kcal</t>
        </is>
      </c>
      <c r="G83" s="27" t="inlineStr">
        <is>
          <t>Scout 4
kcal</t>
        </is>
      </c>
      <c r="H83" s="27" t="inlineStr">
        <is>
          <t>Adult 3
kcal</t>
        </is>
      </c>
      <c r="I83" s="27" t="inlineStr">
        <is>
          <t>$/unit</t>
        </is>
      </c>
      <c r="J83" s="27" t="inlineStr">
        <is>
          <t>Scout 3
$</t>
        </is>
      </c>
      <c r="K83" s="27" t="inlineStr">
        <is>
          <t>Scout 4
$</t>
        </is>
      </c>
      <c r="L83" s="27" t="inlineStr">
        <is>
          <t>Adult 3
$</t>
        </is>
      </c>
      <c r="M83" s="27" t="inlineStr">
        <is>
          <t>oz/unit</t>
        </is>
      </c>
      <c r="N83" s="27" t="inlineStr">
        <is>
          <t>Scout 3
oz</t>
        </is>
      </c>
      <c r="O83" s="27" t="inlineStr">
        <is>
          <t>Scout 4
oz</t>
        </is>
      </c>
      <c r="P83" s="27" t="inlineStr">
        <is>
          <t>Adult 3
oz</t>
        </is>
      </c>
      <c r="Q83" s="27" t="inlineStr">
        <is>
          <t>Notes</t>
        </is>
      </c>
    </row>
    <row r="84">
      <c r="A84" s="7" t="inlineStr">
        <is>
          <t>Mission Street Taco Flour Tortillas</t>
        </is>
      </c>
      <c r="B84" s="6" t="n">
        <v>6</v>
      </c>
      <c r="C84" s="6" t="n">
        <v>8</v>
      </c>
      <c r="D84" s="6" t="n">
        <v>6</v>
      </c>
      <c r="E84" s="6" t="n">
        <v>75</v>
      </c>
      <c r="F84" s="36">
        <f>B84*E84</f>
        <v/>
      </c>
      <c r="G84" s="36">
        <f>C84*E84</f>
        <v/>
      </c>
      <c r="H84" s="36">
        <f>D84*E84</f>
        <v/>
      </c>
      <c r="I84" s="37" t="n">
        <v>0.25</v>
      </c>
      <c r="J84" s="37">
        <f>B84*I84</f>
        <v/>
      </c>
      <c r="K84" s="37">
        <f>C84*I84</f>
        <v/>
      </c>
      <c r="L84" s="37">
        <f>D84*I84</f>
        <v/>
      </c>
      <c r="M84" s="6" t="n">
        <v>0.5</v>
      </c>
      <c r="N84" s="38">
        <f>B84*M84</f>
        <v/>
      </c>
      <c r="O84" s="38">
        <f>C84*M84</f>
        <v/>
      </c>
      <c r="P84" s="38">
        <f>D84*M84</f>
        <v/>
      </c>
      <c r="Q84" s="7" t="inlineStr">
        <is>
          <t>2/person; nut-free ✓</t>
        </is>
      </c>
    </row>
    <row r="85">
      <c r="A85" s="28" t="inlineStr">
        <is>
          <t>Justin's Classic PB Squeeze Pack</t>
        </is>
      </c>
      <c r="B85" s="29" t="n">
        <v>3</v>
      </c>
      <c r="C85" s="29" t="n">
        <v>4</v>
      </c>
      <c r="D85" s="29" t="n">
        <v>3</v>
      </c>
      <c r="E85" s="29" t="n">
        <v>190</v>
      </c>
      <c r="F85" s="30">
        <f>B85*E85</f>
        <v/>
      </c>
      <c r="G85" s="30">
        <f>C85*E85</f>
        <v/>
      </c>
      <c r="H85" s="30">
        <f>D85*E85</f>
        <v/>
      </c>
      <c r="I85" s="31" t="n">
        <v>1.49</v>
      </c>
      <c r="J85" s="31">
        <f>B85*I85</f>
        <v/>
      </c>
      <c r="K85" s="31">
        <f>C85*I85</f>
        <v/>
      </c>
      <c r="L85" s="31">
        <f>D85*I85</f>
        <v/>
      </c>
      <c r="M85" s="29" t="n">
        <v>1.15</v>
      </c>
      <c r="N85" s="32">
        <f>B85*M85</f>
        <v/>
      </c>
      <c r="O85" s="32">
        <f>C85*M85</f>
        <v/>
      </c>
      <c r="P85" s="32">
        <f>D85*M85</f>
        <v/>
      </c>
      <c r="Q85" s="28" t="inlineStr">
        <is>
          <t>1/person; ⚠ NUT: swap → Sunflower Butter Squeeze for allergy scout</t>
        </is>
      </c>
    </row>
    <row r="86">
      <c r="A86" s="39" t="inlineStr">
        <is>
          <t>Lunch Total</t>
        </is>
      </c>
      <c r="B86" s="39" t="n"/>
      <c r="C86" s="39" t="n"/>
      <c r="D86" s="39" t="n"/>
      <c r="E86" s="39" t="n"/>
      <c r="F86" s="40">
        <f>SUM(F84:F85)</f>
        <v/>
      </c>
      <c r="G86" s="40">
        <f>SUM(G84:G85)</f>
        <v/>
      </c>
      <c r="H86" s="40">
        <f>SUM(H84:H85)</f>
        <v/>
      </c>
      <c r="I86" s="39" t="n"/>
      <c r="J86" s="41">
        <f>SUM(J84:J85)</f>
        <v/>
      </c>
      <c r="K86" s="41">
        <f>SUM(K84:K85)</f>
        <v/>
      </c>
      <c r="L86" s="41">
        <f>SUM(L84:L85)</f>
        <v/>
      </c>
      <c r="M86" s="39" t="n"/>
      <c r="N86" s="42">
        <f>SUM(N84:N85)</f>
        <v/>
      </c>
      <c r="O86" s="42">
        <f>SUM(O84:O85)</f>
        <v/>
      </c>
      <c r="P86" s="42">
        <f>SUM(P84:P85)</f>
        <v/>
      </c>
      <c r="Q86" s="39" t="n"/>
    </row>
    <row r="87">
      <c r="A87" s="43" t="inlineStr">
        <is>
          <t>MON APR 6 — DAILY TOTAL (Per Bear Can)</t>
        </is>
      </c>
      <c r="B87" s="43" t="n"/>
      <c r="C87" s="43" t="n"/>
      <c r="D87" s="43" t="n"/>
      <c r="E87" s="43" t="n"/>
      <c r="F87" s="44">
        <f>F74+F81+F86</f>
        <v/>
      </c>
      <c r="G87" s="44">
        <f>G74+G81+G86</f>
        <v/>
      </c>
      <c r="H87" s="44">
        <f>H74+H81+H86</f>
        <v/>
      </c>
      <c r="I87" s="43" t="n"/>
      <c r="J87" s="45">
        <f>J74+J81+J86</f>
        <v/>
      </c>
      <c r="K87" s="45">
        <f>K74+K81+K86</f>
        <v/>
      </c>
      <c r="L87" s="45">
        <f>L74+L81+L86</f>
        <v/>
      </c>
      <c r="M87" s="43" t="n"/>
      <c r="N87" s="46">
        <f>N74+N81+N86</f>
        <v/>
      </c>
      <c r="O87" s="46">
        <f>O74+O81+O86</f>
        <v/>
      </c>
      <c r="P87" s="46">
        <f>P74+P81+P86</f>
        <v/>
      </c>
      <c r="Q87" s="43" t="n"/>
    </row>
    <row r="88">
      <c r="A88" s="47" t="inlineStr">
        <is>
          <t>MON APR 6 — CALORIES DELIVERED PER PERSON</t>
        </is>
      </c>
      <c r="B88" s="47" t="n"/>
      <c r="C88" s="47" t="n"/>
      <c r="D88" s="47" t="n"/>
      <c r="E88" s="47" t="n"/>
      <c r="F88" s="48">
        <f>F87/3</f>
        <v/>
      </c>
      <c r="G88" s="48">
        <f>G87/4</f>
        <v/>
      </c>
      <c r="H88" s="48">
        <f>H87/3</f>
        <v/>
      </c>
      <c r="I88" s="47" t="n"/>
      <c r="J88" s="47" t="n"/>
      <c r="K88" s="47" t="n"/>
      <c r="L88" s="47" t="n"/>
      <c r="M88" s="47" t="n"/>
      <c r="N88" s="47" t="n"/>
      <c r="O88" s="47" t="n"/>
      <c r="P88" s="47" t="n"/>
      <c r="Q88" s="47" t="n"/>
    </row>
    <row r="89" ht="24" customHeight="1">
      <c r="A89" s="25" t="inlineStr">
        <is>
          <t>GRAND TOTALS — COMBINED 3 DAYS</t>
        </is>
      </c>
    </row>
    <row r="90">
      <c r="A90" s="55" t="inlineStr">
        <is>
          <t>TOTAL CALORIES &amp; COST PER BEAR CAN TYPE</t>
        </is>
      </c>
      <c r="B90" s="55" t="n"/>
      <c r="C90" s="55" t="n"/>
      <c r="D90" s="55" t="n"/>
      <c r="E90" s="55" t="n"/>
      <c r="F90" s="56">
        <f>F30+F68+F87</f>
        <v/>
      </c>
      <c r="G90" s="56">
        <f>G30+G68+G87</f>
        <v/>
      </c>
      <c r="H90" s="56">
        <f>H30+H68+H87</f>
        <v/>
      </c>
      <c r="I90" s="55" t="n"/>
      <c r="J90" s="57">
        <f>J30+J68+J87</f>
        <v/>
      </c>
      <c r="K90" s="57">
        <f>K30+K68+K87</f>
        <v/>
      </c>
      <c r="L90" s="57">
        <f>L30+L68+L87</f>
        <v/>
      </c>
      <c r="M90" s="55" t="n"/>
      <c r="N90" s="58">
        <f>N30+N68+N87</f>
        <v/>
      </c>
      <c r="O90" s="58">
        <f>O30+O68+O87</f>
        <v/>
      </c>
      <c r="P90" s="58">
        <f>P30+P68+P87</f>
        <v/>
      </c>
      <c r="Q90" s="55" t="n"/>
    </row>
    <row r="91">
      <c r="A91" s="47" t="inlineStr">
        <is>
          <t>TRIP TOTAL CALORIES DELIVERED PER PERSON</t>
        </is>
      </c>
      <c r="B91" s="47" t="n"/>
      <c r="C91" s="47" t="n"/>
      <c r="D91" s="47" t="n"/>
      <c r="E91" s="47" t="n"/>
      <c r="F91" s="48">
        <f>F90/3</f>
        <v/>
      </c>
      <c r="G91" s="48">
        <f>G90/4</f>
        <v/>
      </c>
      <c r="H91" s="48">
        <f>H90/3</f>
        <v/>
      </c>
      <c r="I91" s="47" t="n"/>
      <c r="J91" s="47" t="n"/>
      <c r="K91" s="47" t="n"/>
      <c r="L91" s="47" t="n"/>
      <c r="M91" s="47" t="n"/>
      <c r="N91" s="47" t="n"/>
      <c r="O91" s="47" t="n"/>
      <c r="P91" s="47" t="n"/>
      <c r="Q91" s="47" t="n"/>
    </row>
  </sheetData>
  <mergeCells count="15">
    <mergeCell ref="A89:Q89"/>
    <mergeCell ref="A44:Q44"/>
    <mergeCell ref="A75:Q75"/>
    <mergeCell ref="A70:Q70"/>
    <mergeCell ref="A4:Q4"/>
    <mergeCell ref="A26:Q26"/>
    <mergeCell ref="A57:Q57"/>
    <mergeCell ref="A64:Q64"/>
    <mergeCell ref="A82:Q82"/>
    <mergeCell ref="A19:Q19"/>
    <mergeCell ref="A49:Q49"/>
    <mergeCell ref="A5:Q5"/>
    <mergeCell ref="A37:Q37"/>
    <mergeCell ref="A32:Q32"/>
    <mergeCell ref="A13:Q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4" customWidth="1" min="2" max="2"/>
    <col width="36" customWidth="1" min="3" max="3"/>
    <col width="15" customWidth="1" min="4" max="4"/>
    <col width="15" customWidth="1" min="5" max="5"/>
    <col width="15" customWidth="1" min="6" max="6"/>
    <col width="40" customWidth="1" min="7" max="7"/>
  </cols>
  <sheetData>
    <row r="1">
      <c r="A1" s="1" t="inlineStr">
        <is>
          <t>OHLONE WILDERNESS TRAIL  ·  Bear Can Packing List  ·  April 4–6, 2026</t>
        </is>
      </c>
    </row>
    <row r="2">
      <c r="A2" s="2" t="inlineStr">
        <is>
          <t>Check off each item as you pack.   ★ = adult cans only.   Qty = items per bear can type.</t>
        </is>
      </c>
    </row>
    <row r="3"/>
    <row r="4" ht="28" customHeight="1">
      <c r="A4" s="59" t="inlineStr">
        <is>
          <t>Packed</t>
        </is>
      </c>
      <c r="B4" s="59" t="inlineStr">
        <is>
          <t>Meal</t>
        </is>
      </c>
      <c r="C4" s="59" t="inlineStr">
        <is>
          <t>Item</t>
        </is>
      </c>
      <c r="D4" s="59" t="inlineStr">
        <is>
          <t>Scout Can
(3 ppl) Qty</t>
        </is>
      </c>
      <c r="E4" s="59" t="inlineStr">
        <is>
          <t>Scout Can
(4 ppl) Qty</t>
        </is>
      </c>
      <c r="F4" s="59" t="inlineStr">
        <is>
          <t>Adult Can
(3 ppl) Qty</t>
        </is>
      </c>
      <c r="G4" s="59" t="inlineStr">
        <is>
          <t>Notes</t>
        </is>
      </c>
    </row>
    <row r="5" ht="22" customHeight="1">
      <c r="A5" s="26" t="inlineStr">
        <is>
          <t>SATURDAY  APR 4</t>
        </is>
      </c>
    </row>
    <row r="6">
      <c r="A6" s="60" t="inlineStr">
        <is>
          <t>☐</t>
        </is>
      </c>
      <c r="B6" s="28" t="inlineStr">
        <is>
          <t>SNACKS</t>
        </is>
      </c>
      <c r="C6" s="28" t="inlineStr">
        <is>
          <t>Kind PB Dark Choc Bar</t>
        </is>
      </c>
      <c r="D6" s="29" t="n">
        <v>3</v>
      </c>
      <c r="E6" s="29" t="n">
        <v>4</v>
      </c>
      <c r="F6" s="29" t="n">
        <v>3</v>
      </c>
      <c r="G6" s="28" t="inlineStr">
        <is>
          <t>hip-belt pocket; ⚠ NUT</t>
        </is>
      </c>
    </row>
    <row r="7">
      <c r="A7" s="60" t="inlineStr">
        <is>
          <t>☐</t>
        </is>
      </c>
      <c r="B7" s="28" t="inlineStr">
        <is>
          <t>SNACKS</t>
        </is>
      </c>
      <c r="C7" s="28" t="inlineStr">
        <is>
          <t>Kind – Caramel Almond &amp; Peanut Bar</t>
        </is>
      </c>
      <c r="D7" s="29" t="n">
        <v>3</v>
      </c>
      <c r="E7" s="29" t="n">
        <v>4</v>
      </c>
      <c r="F7" s="29" t="n">
        <v>3</v>
      </c>
      <c r="G7" s="28" t="inlineStr">
        <is>
          <t>hip-belt pocket; ⚠ NUT</t>
        </is>
      </c>
    </row>
    <row r="8">
      <c r="A8" s="12" t="inlineStr">
        <is>
          <t>☐</t>
        </is>
      </c>
      <c r="B8" s="7" t="inlineStr">
        <is>
          <t>SNACKS</t>
        </is>
      </c>
      <c r="C8" s="7" t="inlineStr">
        <is>
          <t>Krave Sea Salt Beef Jerky</t>
        </is>
      </c>
      <c r="D8" s="6" t="n">
        <v>3</v>
      </c>
      <c r="E8" s="6" t="n">
        <v>4</v>
      </c>
      <c r="F8" s="6" t="n">
        <v>3</v>
      </c>
      <c r="G8" s="7" t="inlineStr">
        <is>
          <t>hip-belt pocket; nut-free</t>
        </is>
      </c>
    </row>
    <row r="9">
      <c r="A9" s="11" t="inlineStr">
        <is>
          <t>☐</t>
        </is>
      </c>
      <c r="B9" s="10" t="inlineStr">
        <is>
          <t>SNACKS</t>
        </is>
      </c>
      <c r="C9" s="10" t="inlineStr">
        <is>
          <t>Gatorade Powder Pack</t>
        </is>
      </c>
      <c r="D9" s="9" t="n">
        <v>3</v>
      </c>
      <c r="E9" s="9" t="n">
        <v>4</v>
      </c>
      <c r="F9" s="9" t="n">
        <v>3</v>
      </c>
      <c r="G9" s="10" t="inlineStr">
        <is>
          <t>hip-belt pocket; electrolytes</t>
        </is>
      </c>
    </row>
    <row r="10">
      <c r="A10" s="12" t="inlineStr">
        <is>
          <t>☐</t>
        </is>
      </c>
      <c r="B10" s="7" t="inlineStr">
        <is>
          <t>SNACKS</t>
        </is>
      </c>
      <c r="C10" s="7" t="inlineStr">
        <is>
          <t>Trader Joe's Dried Mango Slices (1 oz)</t>
        </is>
      </c>
      <c r="D10" s="6" t="n">
        <v>3</v>
      </c>
      <c r="E10" s="6" t="n">
        <v>4</v>
      </c>
      <c r="F10" s="6" t="n">
        <v>3</v>
      </c>
      <c r="G10" s="7" t="inlineStr">
        <is>
          <t>hip-belt pocket; nut-free</t>
        </is>
      </c>
    </row>
    <row r="11">
      <c r="A11" s="11" t="inlineStr">
        <is>
          <t>☐</t>
        </is>
      </c>
      <c r="B11" s="10" t="inlineStr">
        <is>
          <t>LUNCH</t>
        </is>
      </c>
      <c r="C11" s="10" t="inlineStr">
        <is>
          <t>Columbus Hard Salami (packet)</t>
        </is>
      </c>
      <c r="D11" s="9" t="n">
        <v>3</v>
      </c>
      <c r="E11" s="9" t="n">
        <v>4</v>
      </c>
      <c r="F11" s="9" t="n">
        <v>3</v>
      </c>
      <c r="G11" s="10" t="inlineStr">
        <is>
          <t>no cook; nut-free</t>
        </is>
      </c>
    </row>
    <row r="12">
      <c r="A12" s="12" t="inlineStr">
        <is>
          <t>☐</t>
        </is>
      </c>
      <c r="B12" s="7" t="inlineStr">
        <is>
          <t>LUNCH</t>
        </is>
      </c>
      <c r="C12" s="7" t="inlineStr">
        <is>
          <t>Wasa Crispbread</t>
        </is>
      </c>
      <c r="D12" s="6" t="n">
        <v>3</v>
      </c>
      <c r="E12" s="6" t="n">
        <v>4</v>
      </c>
      <c r="F12" s="6" t="n">
        <v>3</v>
      </c>
      <c r="G12" s="7" t="inlineStr">
        <is>
          <t>no cook; nut-free</t>
        </is>
      </c>
    </row>
    <row r="13">
      <c r="A13" s="11" t="inlineStr">
        <is>
          <t>☐</t>
        </is>
      </c>
      <c r="B13" s="10" t="inlineStr">
        <is>
          <t>LUNCH</t>
        </is>
      </c>
      <c r="C13" s="10" t="inlineStr">
        <is>
          <t>Tillamook Cheddar Cheese Packets</t>
        </is>
      </c>
      <c r="D13" s="9" t="n">
        <v>3</v>
      </c>
      <c r="E13" s="9" t="n">
        <v>4</v>
      </c>
      <c r="F13" s="9" t="n">
        <v>3</v>
      </c>
      <c r="G13" s="10" t="inlineStr">
        <is>
          <t>no cook; nut-free</t>
        </is>
      </c>
    </row>
    <row r="14">
      <c r="A14" s="12" t="inlineStr">
        <is>
          <t>☐</t>
        </is>
      </c>
      <c r="B14" s="7" t="inlineStr">
        <is>
          <t>DINNER</t>
        </is>
      </c>
      <c r="C14" s="7" t="inlineStr">
        <is>
          <t>Peak Refuel – Beef Pasta Marinara</t>
        </is>
      </c>
      <c r="D14" s="6" t="n">
        <v>2</v>
      </c>
      <c r="E14" s="6" t="n">
        <v>3</v>
      </c>
      <c r="F14" s="6" t="n">
        <v>3</v>
      </c>
      <c r="G14" s="7" t="inlineStr">
        <is>
          <t>hot · 1.5 svgs/pouch</t>
        </is>
      </c>
    </row>
    <row r="15">
      <c r="A15" s="11" t="inlineStr">
        <is>
          <t>☐</t>
        </is>
      </c>
      <c r="B15" s="10" t="inlineStr">
        <is>
          <t>DINNER</t>
        </is>
      </c>
      <c r="C15" s="10" t="inlineStr">
        <is>
          <t>Flour Tortillas</t>
        </is>
      </c>
      <c r="D15" s="9" t="n">
        <v>6</v>
      </c>
      <c r="E15" s="9" t="n">
        <v>8</v>
      </c>
      <c r="F15" s="9" t="n">
        <v>6</v>
      </c>
      <c r="G15" s="10" t="inlineStr">
        <is>
          <t>dinner wraps + side</t>
        </is>
      </c>
    </row>
    <row r="16">
      <c r="A16" s="12" t="inlineStr">
        <is>
          <t>☐</t>
        </is>
      </c>
      <c r="B16" s="7" t="inlineStr">
        <is>
          <t>DINNER</t>
        </is>
      </c>
      <c r="C16" s="7" t="inlineStr">
        <is>
          <t>Tillamook Cheddar Cheese Packets</t>
        </is>
      </c>
      <c r="D16" s="6" t="n">
        <v>6</v>
      </c>
      <c r="E16" s="6" t="n">
        <v>8</v>
      </c>
      <c r="F16" s="6" t="n">
        <v>6</v>
      </c>
      <c r="G16" s="7" t="inlineStr">
        <is>
          <t>dinner side</t>
        </is>
      </c>
    </row>
    <row r="17">
      <c r="A17" s="11" t="inlineStr">
        <is>
          <t>☐</t>
        </is>
      </c>
      <c r="B17" s="10" t="inlineStr">
        <is>
          <t>DINNER</t>
        </is>
      </c>
      <c r="C17" s="10" t="inlineStr">
        <is>
          <t>Swiss Miss Hot Chocolate</t>
        </is>
      </c>
      <c r="D17" s="9" t="n">
        <v>6</v>
      </c>
      <c r="E17" s="9" t="n">
        <v>8</v>
      </c>
      <c r="F17" s="9" t="n">
        <v>0</v>
      </c>
      <c r="G17" s="10" t="inlineStr">
        <is>
          <t>scouts only</t>
        </is>
      </c>
    </row>
    <row r="18">
      <c r="A18" s="12" t="inlineStr">
        <is>
          <t>☐</t>
        </is>
      </c>
      <c r="B18" s="7" t="inlineStr">
        <is>
          <t>DESSERT</t>
        </is>
      </c>
      <c r="C18" s="7" t="inlineStr">
        <is>
          <t>Backpacker's Pantry Crème Brûlée</t>
        </is>
      </c>
      <c r="D18" s="6" t="n">
        <v>2</v>
      </c>
      <c r="E18" s="6" t="n">
        <v>2</v>
      </c>
      <c r="F18" s="6" t="n">
        <v>2</v>
      </c>
      <c r="G18" s="7" t="inlineStr">
        <is>
          <t>hot · buddy-pair shares 1</t>
        </is>
      </c>
    </row>
    <row r="19" ht="22" customHeight="1">
      <c r="A19" s="26" t="inlineStr">
        <is>
          <t>SUNDAY  APR 5</t>
        </is>
      </c>
    </row>
    <row r="20">
      <c r="A20" s="60" t="inlineStr">
        <is>
          <t>☐</t>
        </is>
      </c>
      <c r="B20" s="28" t="inlineStr">
        <is>
          <t>BREAKFAST</t>
        </is>
      </c>
      <c r="C20" s="28" t="inlineStr">
        <is>
          <t>MET-Rx Big100 – Super Cookie Crunch</t>
        </is>
      </c>
      <c r="D20" s="29" t="n">
        <v>3</v>
      </c>
      <c r="E20" s="29" t="n">
        <v>4</v>
      </c>
      <c r="F20" s="29" t="n">
        <v>3</v>
      </c>
      <c r="G20" s="28" t="inlineStr">
        <is>
          <t>grab &amp; go; ⚠ NUT</t>
        </is>
      </c>
    </row>
    <row r="21">
      <c r="A21" s="11" t="inlineStr">
        <is>
          <t>☐</t>
        </is>
      </c>
      <c r="B21" s="10" t="inlineStr">
        <is>
          <t>BREAKFAST</t>
        </is>
      </c>
      <c r="C21" s="10" t="inlineStr">
        <is>
          <t>Swiss Miss Hot Chocolate</t>
        </is>
      </c>
      <c r="D21" s="9" t="n">
        <v>6</v>
      </c>
      <c r="E21" s="9" t="n">
        <v>8</v>
      </c>
      <c r="F21" s="9" t="n">
        <v>0</v>
      </c>
      <c r="G21" s="10" t="inlineStr">
        <is>
          <t>scouts only</t>
        </is>
      </c>
    </row>
    <row r="22">
      <c r="A22" s="61" t="inlineStr">
        <is>
          <t>☐</t>
        </is>
      </c>
      <c r="B22" s="49" t="inlineStr">
        <is>
          <t>BREAKFAST</t>
        </is>
      </c>
      <c r="C22" s="49" t="inlineStr">
        <is>
          <t>Adults: own coffee / tea</t>
        </is>
      </c>
      <c r="D22" s="50" t="n">
        <v>0</v>
      </c>
      <c r="E22" s="50" t="n">
        <v>0</v>
      </c>
      <c r="F22" s="50" t="n">
        <v>3</v>
      </c>
      <c r="G22" s="49" t="inlineStr">
        <is>
          <t>adults only ★</t>
        </is>
      </c>
    </row>
    <row r="23">
      <c r="A23" s="11" t="inlineStr">
        <is>
          <t>☐</t>
        </is>
      </c>
      <c r="B23" s="10" t="inlineStr">
        <is>
          <t>SNACKS</t>
        </is>
      </c>
      <c r="C23" s="10" t="inlineStr">
        <is>
          <t>Krave Sea Salt Original Beef Jerky</t>
        </is>
      </c>
      <c r="D23" s="9" t="n">
        <v>3</v>
      </c>
      <c r="E23" s="9" t="n">
        <v>4</v>
      </c>
      <c r="F23" s="9" t="n">
        <v>3</v>
      </c>
      <c r="G23" s="10" t="inlineStr">
        <is>
          <t>hip-belt pocket; nut-free</t>
        </is>
      </c>
    </row>
    <row r="24">
      <c r="A24" s="60" t="inlineStr">
        <is>
          <t>☐</t>
        </is>
      </c>
      <c r="B24" s="28" t="inlineStr">
        <is>
          <t>SNACKS</t>
        </is>
      </c>
      <c r="C24" s="28" t="inlineStr">
        <is>
          <t>Kind – Dark Choc Nuts &amp; Sea Salt Bar</t>
        </is>
      </c>
      <c r="D24" s="29" t="n">
        <v>3</v>
      </c>
      <c r="E24" s="29" t="n">
        <v>4</v>
      </c>
      <c r="F24" s="29" t="n">
        <v>3</v>
      </c>
      <c r="G24" s="28" t="inlineStr">
        <is>
          <t>hip-belt pocket; ⚠ NUT</t>
        </is>
      </c>
    </row>
    <row r="25">
      <c r="A25" s="11" t="inlineStr">
        <is>
          <t>☐</t>
        </is>
      </c>
      <c r="B25" s="10" t="inlineStr">
        <is>
          <t>SNACKS</t>
        </is>
      </c>
      <c r="C25" s="10" t="inlineStr">
        <is>
          <t>Gatorade Powder Pack</t>
        </is>
      </c>
      <c r="D25" s="9" t="n">
        <v>6</v>
      </c>
      <c r="E25" s="9" t="n">
        <v>8</v>
      </c>
      <c r="F25" s="9" t="n">
        <v>6</v>
      </c>
      <c r="G25" s="10" t="inlineStr">
        <is>
          <t>×2/person; climb day</t>
        </is>
      </c>
    </row>
    <row r="26">
      <c r="A26" s="12" t="inlineStr">
        <is>
          <t>☐</t>
        </is>
      </c>
      <c r="B26" s="7" t="inlineStr">
        <is>
          <t>SNACKS</t>
        </is>
      </c>
      <c r="C26" s="7" t="inlineStr">
        <is>
          <t>Banana Chips (1 oz)</t>
        </is>
      </c>
      <c r="D26" s="6" t="n">
        <v>3</v>
      </c>
      <c r="E26" s="6" t="n">
        <v>4</v>
      </c>
      <c r="F26" s="6" t="n">
        <v>3</v>
      </c>
      <c r="G26" s="7" t="inlineStr">
        <is>
          <t>nut-free</t>
        </is>
      </c>
    </row>
    <row r="27">
      <c r="A27" s="11" t="inlineStr">
        <is>
          <t>☐</t>
        </is>
      </c>
      <c r="B27" s="10" t="inlineStr">
        <is>
          <t>LUNCH</t>
        </is>
      </c>
      <c r="C27" s="10" t="inlineStr">
        <is>
          <t>Chicken of the Sea Shredded Chicken Pouch</t>
        </is>
      </c>
      <c r="D27" s="9" t="n">
        <v>3</v>
      </c>
      <c r="E27" s="9" t="n">
        <v>4</v>
      </c>
      <c r="F27" s="9" t="n">
        <v>3</v>
      </c>
      <c r="G27" s="10" t="inlineStr">
        <is>
          <t>no cook; nut-free</t>
        </is>
      </c>
    </row>
    <row r="28">
      <c r="A28" s="12" t="inlineStr">
        <is>
          <t>☐</t>
        </is>
      </c>
      <c r="B28" s="7" t="inlineStr">
        <is>
          <t>LUNCH</t>
        </is>
      </c>
      <c r="C28" s="7" t="inlineStr">
        <is>
          <t>Flour Tortillas</t>
        </is>
      </c>
      <c r="D28" s="6" t="n">
        <v>6</v>
      </c>
      <c r="E28" s="6" t="n">
        <v>8</v>
      </c>
      <c r="F28" s="6" t="n">
        <v>6</v>
      </c>
      <c r="G28" s="7" t="inlineStr">
        <is>
          <t>lunch wraps</t>
        </is>
      </c>
    </row>
    <row r="29">
      <c r="A29" s="11" t="inlineStr">
        <is>
          <t>☐</t>
        </is>
      </c>
      <c r="B29" s="10" t="inlineStr">
        <is>
          <t>LUNCH</t>
        </is>
      </c>
      <c r="C29" s="10" t="inlineStr">
        <is>
          <t>Tillamook Cheddar Cheese Packets</t>
        </is>
      </c>
      <c r="D29" s="9" t="n">
        <v>3</v>
      </c>
      <c r="E29" s="9" t="n">
        <v>4</v>
      </c>
      <c r="F29" s="9" t="n">
        <v>3</v>
      </c>
      <c r="G29" s="10" t="inlineStr">
        <is>
          <t>lunch side</t>
        </is>
      </c>
    </row>
    <row r="30">
      <c r="A30" s="60" t="inlineStr">
        <is>
          <t>☐</t>
        </is>
      </c>
      <c r="B30" s="28" t="inlineStr">
        <is>
          <t>LUNCH</t>
        </is>
      </c>
      <c r="C30" s="28" t="inlineStr">
        <is>
          <t>Clif Bar – Crunchy PB</t>
        </is>
      </c>
      <c r="D30" s="29" t="n">
        <v>3</v>
      </c>
      <c r="E30" s="29" t="n">
        <v>4</v>
      </c>
      <c r="F30" s="29" t="n">
        <v>3</v>
      </c>
      <c r="G30" s="28" t="inlineStr">
        <is>
          <t>lunch snack; ⚠ NUT</t>
        </is>
      </c>
    </row>
    <row r="31">
      <c r="A31" s="60" t="inlineStr">
        <is>
          <t>☐</t>
        </is>
      </c>
      <c r="B31" s="28" t="inlineStr">
        <is>
          <t>LUNCH</t>
        </is>
      </c>
      <c r="C31" s="28" t="inlineStr">
        <is>
          <t>Justin's Classic PB Squeeze Pack</t>
        </is>
      </c>
      <c r="D31" s="29" t="n">
        <v>3</v>
      </c>
      <c r="E31" s="29" t="n">
        <v>4</v>
      </c>
      <c r="F31" s="29" t="n">
        <v>3</v>
      </c>
      <c r="G31" s="28" t="inlineStr">
        <is>
          <t>lunch side; ⚠ NUT</t>
        </is>
      </c>
    </row>
    <row r="32">
      <c r="A32" s="60" t="inlineStr">
        <is>
          <t>☐</t>
        </is>
      </c>
      <c r="B32" s="28" t="inlineStr">
        <is>
          <t>SUPPLEMENT</t>
        </is>
      </c>
      <c r="C32" s="28" t="inlineStr">
        <is>
          <t>Clif Builder's Bar (adult supplement)</t>
        </is>
      </c>
      <c r="D32" s="29" t="n">
        <v>0</v>
      </c>
      <c r="E32" s="29" t="n">
        <v>0</v>
      </c>
      <c r="F32" s="29" t="n">
        <v>3</v>
      </c>
      <c r="G32" s="28" t="inlineStr">
        <is>
          <t>pre-dinner; adults only ★; ⚠ NUT</t>
        </is>
      </c>
    </row>
    <row r="33">
      <c r="A33" s="60" t="inlineStr">
        <is>
          <t>☐</t>
        </is>
      </c>
      <c r="B33" s="28" t="inlineStr">
        <is>
          <t>SUPPLEMENT</t>
        </is>
      </c>
      <c r="C33" s="28" t="inlineStr">
        <is>
          <t>Justin's PB Squeeze (adult supplement)</t>
        </is>
      </c>
      <c r="D33" s="29" t="n">
        <v>0</v>
      </c>
      <c r="E33" s="29" t="n">
        <v>0</v>
      </c>
      <c r="F33" s="29" t="n">
        <v>3</v>
      </c>
      <c r="G33" s="28" t="inlineStr">
        <is>
          <t>any time; adults only ★; ⚠ NUT</t>
        </is>
      </c>
    </row>
    <row r="34">
      <c r="A34" s="12" t="inlineStr">
        <is>
          <t>☐</t>
        </is>
      </c>
      <c r="B34" s="7" t="inlineStr">
        <is>
          <t>DINNER</t>
        </is>
      </c>
      <c r="C34" s="7" t="inlineStr">
        <is>
          <t>Peak Refuel – Beef Stroganoff</t>
        </is>
      </c>
      <c r="D34" s="6" t="n">
        <v>2</v>
      </c>
      <c r="E34" s="6" t="n">
        <v>3</v>
      </c>
      <c r="F34" s="6" t="n">
        <v>3</v>
      </c>
      <c r="G34" s="7" t="inlineStr">
        <is>
          <t>hot · 1.5 svgs/pouch</t>
        </is>
      </c>
    </row>
    <row r="35">
      <c r="A35" s="11" t="inlineStr">
        <is>
          <t>☐</t>
        </is>
      </c>
      <c r="B35" s="10" t="inlineStr">
        <is>
          <t>DINNER</t>
        </is>
      </c>
      <c r="C35" s="10" t="inlineStr">
        <is>
          <t>Flour Tortillas</t>
        </is>
      </c>
      <c r="D35" s="9" t="n">
        <v>6</v>
      </c>
      <c r="E35" s="9" t="n">
        <v>8</v>
      </c>
      <c r="F35" s="9" t="n">
        <v>6</v>
      </c>
      <c r="G35" s="10" t="inlineStr">
        <is>
          <t>dinner wraps</t>
        </is>
      </c>
    </row>
    <row r="36">
      <c r="A36" s="12" t="inlineStr">
        <is>
          <t>☐</t>
        </is>
      </c>
      <c r="B36" s="7" t="inlineStr">
        <is>
          <t>DINNER</t>
        </is>
      </c>
      <c r="C36" s="7" t="inlineStr">
        <is>
          <t>Idahoan Mashed Potatoes</t>
        </is>
      </c>
      <c r="D36" s="6" t="n">
        <v>3</v>
      </c>
      <c r="E36" s="6" t="n">
        <v>4</v>
      </c>
      <c r="F36" s="6" t="n">
        <v>3</v>
      </c>
      <c r="G36" s="7" t="inlineStr">
        <is>
          <t>dinner side</t>
        </is>
      </c>
    </row>
    <row r="37">
      <c r="A37" s="11" t="inlineStr">
        <is>
          <t>☐</t>
        </is>
      </c>
      <c r="B37" s="10" t="inlineStr">
        <is>
          <t>DINNER</t>
        </is>
      </c>
      <c r="C37" s="10" t="inlineStr">
        <is>
          <t>Swiss Miss Hot Chocolate</t>
        </is>
      </c>
      <c r="D37" s="9" t="n">
        <v>6</v>
      </c>
      <c r="E37" s="9" t="n">
        <v>8</v>
      </c>
      <c r="F37" s="9" t="n">
        <v>0</v>
      </c>
      <c r="G37" s="10" t="inlineStr">
        <is>
          <t>scouts only</t>
        </is>
      </c>
    </row>
    <row r="38">
      <c r="A38" s="60" t="inlineStr">
        <is>
          <t>☐</t>
        </is>
      </c>
      <c r="B38" s="28" t="inlineStr">
        <is>
          <t>DESSERT</t>
        </is>
      </c>
      <c r="C38" s="28" t="inlineStr">
        <is>
          <t>Justin's Dark Choc PB Cups</t>
        </is>
      </c>
      <c r="D38" s="29" t="n">
        <v>3</v>
      </c>
      <c r="E38" s="29" t="n">
        <v>4</v>
      </c>
      <c r="F38" s="29" t="n">
        <v>3</v>
      </c>
      <c r="G38" s="28" t="inlineStr">
        <is>
          <t>1 packet/person; ⚠ NUT</t>
        </is>
      </c>
    </row>
    <row r="39" ht="22" customHeight="1">
      <c r="A39" s="26" t="inlineStr">
        <is>
          <t>MONDAY  APR 6</t>
        </is>
      </c>
    </row>
    <row r="40">
      <c r="A40" s="60" t="inlineStr">
        <is>
          <t>☐</t>
        </is>
      </c>
      <c r="B40" s="28" t="inlineStr">
        <is>
          <t>BREAKFAST</t>
        </is>
      </c>
      <c r="C40" s="28" t="inlineStr">
        <is>
          <t>ProBar Meal – Oatmeal Chocolate Chip</t>
        </is>
      </c>
      <c r="D40" s="29" t="n">
        <v>3</v>
      </c>
      <c r="E40" s="29" t="n">
        <v>4</v>
      </c>
      <c r="F40" s="29" t="n">
        <v>3</v>
      </c>
      <c r="G40" s="28" t="inlineStr">
        <is>
          <t>grab &amp; go; ⚠ NUT (cashews)</t>
        </is>
      </c>
    </row>
    <row r="41">
      <c r="A41" s="11" t="inlineStr">
        <is>
          <t>☐</t>
        </is>
      </c>
      <c r="B41" s="10" t="inlineStr">
        <is>
          <t>BREAKFAST</t>
        </is>
      </c>
      <c r="C41" s="10" t="inlineStr">
        <is>
          <t>Swiss Miss Hot Chocolate</t>
        </is>
      </c>
      <c r="D41" s="9" t="n">
        <v>6</v>
      </c>
      <c r="E41" s="9" t="n">
        <v>8</v>
      </c>
      <c r="F41" s="9" t="n">
        <v>0</v>
      </c>
      <c r="G41" s="10" t="inlineStr">
        <is>
          <t>scouts only</t>
        </is>
      </c>
    </row>
    <row r="42">
      <c r="A42" s="60" t="inlineStr">
        <is>
          <t>☐</t>
        </is>
      </c>
      <c r="B42" s="28" t="inlineStr">
        <is>
          <t>SNACKS</t>
        </is>
      </c>
      <c r="C42" s="28" t="inlineStr">
        <is>
          <t>Clif Bar – Crunchy PB</t>
        </is>
      </c>
      <c r="D42" s="29" t="n">
        <v>3</v>
      </c>
      <c r="E42" s="29" t="n">
        <v>4</v>
      </c>
      <c r="F42" s="29" t="n">
        <v>3</v>
      </c>
      <c r="G42" s="28" t="inlineStr">
        <is>
          <t>hip-belt pocket; ⚠ NUT</t>
        </is>
      </c>
    </row>
    <row r="43">
      <c r="A43" s="11" t="inlineStr">
        <is>
          <t>☐</t>
        </is>
      </c>
      <c r="B43" s="10" t="inlineStr">
        <is>
          <t>SNACKS</t>
        </is>
      </c>
      <c r="C43" s="10" t="inlineStr">
        <is>
          <t>Krave Sea Salt Original Beef Jerky</t>
        </is>
      </c>
      <c r="D43" s="9" t="n">
        <v>3</v>
      </c>
      <c r="E43" s="9" t="n">
        <v>4</v>
      </c>
      <c r="F43" s="9" t="n">
        <v>3</v>
      </c>
      <c r="G43" s="10" t="inlineStr">
        <is>
          <t>hip-belt pocket; nut-free</t>
        </is>
      </c>
    </row>
    <row r="44">
      <c r="A44" s="12" t="inlineStr">
        <is>
          <t>☐</t>
        </is>
      </c>
      <c r="B44" s="7" t="inlineStr">
        <is>
          <t>SNACKS</t>
        </is>
      </c>
      <c r="C44" s="7" t="inlineStr">
        <is>
          <t>Gatorade Powder Pack</t>
        </is>
      </c>
      <c r="D44" s="6" t="n">
        <v>3</v>
      </c>
      <c r="E44" s="6" t="n">
        <v>4</v>
      </c>
      <c r="F44" s="6" t="n">
        <v>3</v>
      </c>
      <c r="G44" s="7" t="inlineStr">
        <is>
          <t>hip-belt pocket; electrolytes</t>
        </is>
      </c>
    </row>
    <row r="45">
      <c r="A45" s="11" t="inlineStr">
        <is>
          <t>☐</t>
        </is>
      </c>
      <c r="B45" s="10" t="inlineStr">
        <is>
          <t>SNACKS</t>
        </is>
      </c>
      <c r="C45" s="10" t="inlineStr">
        <is>
          <t>Peak Refuel – Fudge Brownie Bites</t>
        </is>
      </c>
      <c r="D45" s="9" t="n">
        <v>2</v>
      </c>
      <c r="E45" s="9" t="n">
        <v>2</v>
      </c>
      <c r="F45" s="9" t="n">
        <v>2</v>
      </c>
      <c r="G45" s="10" t="inlineStr">
        <is>
          <t>Mon afternoon snack; nut-free</t>
        </is>
      </c>
    </row>
    <row r="46">
      <c r="A46" s="12" t="inlineStr">
        <is>
          <t>☐</t>
        </is>
      </c>
      <c r="B46" s="7" t="inlineStr">
        <is>
          <t>LUNCH</t>
        </is>
      </c>
      <c r="C46" s="7" t="inlineStr">
        <is>
          <t>Flour Tortillas</t>
        </is>
      </c>
      <c r="D46" s="6" t="n">
        <v>6</v>
      </c>
      <c r="E46" s="6" t="n">
        <v>8</v>
      </c>
      <c r="F46" s="6" t="n">
        <v>6</v>
      </c>
      <c r="G46" s="7" t="inlineStr">
        <is>
          <t>no cook; lunch wraps</t>
        </is>
      </c>
    </row>
    <row r="47">
      <c r="A47" s="60" t="inlineStr">
        <is>
          <t>☐</t>
        </is>
      </c>
      <c r="B47" s="28" t="inlineStr">
        <is>
          <t>LUNCH</t>
        </is>
      </c>
      <c r="C47" s="28" t="inlineStr">
        <is>
          <t>Justin's Classic PB Squeeze Pack</t>
        </is>
      </c>
      <c r="D47" s="29" t="n">
        <v>3</v>
      </c>
      <c r="E47" s="29" t="n">
        <v>4</v>
      </c>
      <c r="F47" s="29" t="n">
        <v>3</v>
      </c>
      <c r="G47" s="28" t="inlineStr">
        <is>
          <t>lunch wraps; ⚠ NUT</t>
        </is>
      </c>
    </row>
  </sheetData>
  <mergeCells count="3">
    <mergeCell ref="A19:G19"/>
    <mergeCell ref="A39:G39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1" workbookViewId="0">
      <selection activeCell="A1" sqref="A1"/>
    </sheetView>
  </sheetViews>
  <sheetFormatPr baseColWidth="8" defaultRowHeight="15"/>
  <cols>
    <col width="129" customWidth="1" min="1" max="1"/>
    <col width="36" customWidth="1" min="2" max="2"/>
    <col width="17" customWidth="1" min="3" max="3"/>
    <col width="17" customWidth="1" min="4" max="4"/>
    <col width="17" customWidth="1" min="5" max="5"/>
    <col width="22" customWidth="1" min="6" max="6"/>
    <col width="10" customWidth="1" min="7" max="7"/>
    <col width="16" customWidth="1" min="8" max="8"/>
    <col width="16" customWidth="1" min="9" max="9"/>
    <col width="16" customWidth="1" min="10" max="10"/>
    <col width="16" customWidth="1" min="11" max="11"/>
    <col width="11" customWidth="1" min="12" max="12"/>
    <col width="16" customWidth="1" min="13" max="13"/>
    <col width="45" customWidth="1" min="14" max="14"/>
  </cols>
  <sheetData>
    <row r="1">
      <c r="A1" s="1" t="inlineStr">
        <is>
          <t>Master Shopping List — 19 People · 6 Bear Cans  |  April 4–6, 2026</t>
        </is>
      </c>
    </row>
    <row r="2">
      <c r="A2" s="2" t="inlineStr">
        <is>
          <t>🟡 Yellow = bulk buy (Costco/Amazon)  |  🟠 Orange = adult supplement  |  Group Total = 3*(Scout 3) + 1*(Scout 4) + 2*(Adult 3)</t>
        </is>
      </c>
    </row>
    <row r="3" ht="30" customHeight="1">
      <c r="A3" s="59" t="inlineStr">
        <is>
          <t>☐</t>
        </is>
      </c>
      <c r="B3" s="59" t="inlineStr">
        <is>
          <t>Food Item</t>
        </is>
      </c>
      <c r="C3" s="59" t="inlineStr">
        <is>
          <t>Qty
(Scout 3 Can)</t>
        </is>
      </c>
      <c r="D3" s="59" t="inlineStr">
        <is>
          <t>Qty
(Scout 4 Can)</t>
        </is>
      </c>
      <c r="E3" s="59" t="inlineStr">
        <is>
          <t>Qty
(Adult 3 Can)</t>
        </is>
      </c>
      <c r="F3" s="59" t="inlineStr">
        <is>
          <t>Group Total
(Units/Packs)</t>
        </is>
      </c>
      <c r="G3" s="59" t="inlineStr">
        <is>
          <t>$/Unit</t>
        </is>
      </c>
      <c r="H3" s="59" t="inlineStr">
        <is>
          <t>Scout 3
Can $</t>
        </is>
      </c>
      <c r="I3" s="59" t="inlineStr">
        <is>
          <t>Scout 4
Can $</t>
        </is>
      </c>
      <c r="J3" s="59" t="inlineStr">
        <is>
          <t>Adult 3
Can $</t>
        </is>
      </c>
      <c r="K3" s="59" t="inlineStr">
        <is>
          <t>Group Total
$</t>
        </is>
      </c>
      <c r="L3" s="59" t="inlineStr">
        <is>
          <t>oz/unit</t>
        </is>
      </c>
      <c r="M3" s="59" t="inlineStr">
        <is>
          <t>Group
ozs</t>
        </is>
      </c>
      <c r="N3" s="59" t="inlineStr">
        <is>
          <t>Where to Buy</t>
        </is>
      </c>
    </row>
    <row r="4">
      <c r="A4" s="60" t="inlineStr">
        <is>
          <t>☐</t>
        </is>
      </c>
      <c r="B4" s="28" t="inlineStr">
        <is>
          <t>MET-Rx Big100 – Super Cookie Crunch</t>
        </is>
      </c>
      <c r="C4" s="29" t="n">
        <v>3</v>
      </c>
      <c r="D4" s="29" t="n">
        <v>4</v>
      </c>
      <c r="E4" s="29" t="n">
        <v>3</v>
      </c>
      <c r="F4" s="29">
        <f>3*C4+1*D4+2*E4</f>
        <v/>
      </c>
      <c r="G4" s="31" t="n">
        <v>2.19</v>
      </c>
      <c r="H4" s="31">
        <f>C4*G4</f>
        <v/>
      </c>
      <c r="I4" s="31">
        <f>D4*G4</f>
        <v/>
      </c>
      <c r="J4" s="31">
        <f>E4*G4</f>
        <v/>
      </c>
      <c r="K4" s="31">
        <f>F4*G4</f>
        <v/>
      </c>
      <c r="L4" s="62" t="n">
        <v>3.53</v>
      </c>
      <c r="M4" s="32">
        <f>F4*L4</f>
        <v/>
      </c>
      <c r="N4" s="28" t="inlineStr">
        <is>
          <t>⚠ NUT ALLERGY SWAP: No Nuts! Chocolate Chip bar</t>
        </is>
      </c>
    </row>
    <row r="5">
      <c r="A5" s="60" t="inlineStr">
        <is>
          <t>☐</t>
        </is>
      </c>
      <c r="B5" s="28" t="inlineStr">
        <is>
          <t>ProBar Meal – Oatmeal Chocolate Chip</t>
        </is>
      </c>
      <c r="C5" s="29" t="n">
        <v>3</v>
      </c>
      <c r="D5" s="29" t="n">
        <v>4</v>
      </c>
      <c r="E5" s="29" t="n">
        <v>3</v>
      </c>
      <c r="F5" s="29">
        <f>3*C5+1*D5+2*E5</f>
        <v/>
      </c>
      <c r="G5" s="31" t="n">
        <v>2.99</v>
      </c>
      <c r="H5" s="31">
        <f>C5*G5</f>
        <v/>
      </c>
      <c r="I5" s="31">
        <f>D5*G5</f>
        <v/>
      </c>
      <c r="J5" s="31">
        <f>E5*G5</f>
        <v/>
      </c>
      <c r="K5" s="31">
        <f>F5*G5</f>
        <v/>
      </c>
      <c r="L5" s="62" t="n">
        <v>3</v>
      </c>
      <c r="M5" s="32">
        <f>F5*L5</f>
        <v/>
      </c>
      <c r="N5" s="28" t="inlineStr">
        <is>
          <t>⚠ NUT ALLERGY SWAP: No Nuts! bar</t>
        </is>
      </c>
    </row>
    <row r="6">
      <c r="A6" s="12" t="inlineStr">
        <is>
          <t>☐</t>
        </is>
      </c>
      <c r="B6" s="7" t="inlineStr">
        <is>
          <t>Peak Refuel – Beef Pasta Marinara</t>
        </is>
      </c>
      <c r="C6" s="6" t="n">
        <v>2</v>
      </c>
      <c r="D6" s="6" t="n">
        <v>3</v>
      </c>
      <c r="E6" s="6" t="n">
        <v>3</v>
      </c>
      <c r="F6" s="6">
        <f>3*C6+1*D6+2*E6</f>
        <v/>
      </c>
      <c r="G6" s="37" t="n">
        <v>7.49</v>
      </c>
      <c r="H6" s="37">
        <f>C6*G6</f>
        <v/>
      </c>
      <c r="I6" s="37">
        <f>D6*G6</f>
        <v/>
      </c>
      <c r="J6" s="37">
        <f>E6*G6</f>
        <v/>
      </c>
      <c r="K6" s="37">
        <f>F6*G6</f>
        <v/>
      </c>
      <c r="L6" s="63" t="n">
        <v>3.2</v>
      </c>
      <c r="M6" s="38">
        <f>F6*L6</f>
        <v/>
      </c>
      <c r="N6" s="7" t="inlineStr">
        <is>
          <t>Sat dinner (1.5 svgs/pouch)</t>
        </is>
      </c>
    </row>
    <row r="7">
      <c r="A7" s="11" t="inlineStr">
        <is>
          <t>☐</t>
        </is>
      </c>
      <c r="B7" s="10" t="inlineStr">
        <is>
          <t>Peak Refuel – Beef Stroganoff</t>
        </is>
      </c>
      <c r="C7" s="9" t="n">
        <v>2</v>
      </c>
      <c r="D7" s="9" t="n">
        <v>3</v>
      </c>
      <c r="E7" s="9" t="n">
        <v>3</v>
      </c>
      <c r="F7" s="9">
        <f>3*C7+1*D7+2*E7</f>
        <v/>
      </c>
      <c r="G7" s="34" t="n">
        <v>7.49</v>
      </c>
      <c r="H7" s="34">
        <f>C7*G7</f>
        <v/>
      </c>
      <c r="I7" s="34">
        <f>D7*G7</f>
        <v/>
      </c>
      <c r="J7" s="34">
        <f>E7*G7</f>
        <v/>
      </c>
      <c r="K7" s="34">
        <f>F7*G7</f>
        <v/>
      </c>
      <c r="L7" s="64" t="n">
        <v>3.5</v>
      </c>
      <c r="M7" s="35">
        <f>F7*L7</f>
        <v/>
      </c>
      <c r="N7" s="10" t="inlineStr">
        <is>
          <t>Sun dinner (1.5 svgs/pouch)</t>
        </is>
      </c>
    </row>
    <row r="8">
      <c r="A8" s="12" t="inlineStr">
        <is>
          <t>☐</t>
        </is>
      </c>
      <c r="B8" s="7" t="inlineStr">
        <is>
          <t>Backpacker's Pantry – Crème Brûlée</t>
        </is>
      </c>
      <c r="C8" s="6" t="n">
        <v>2</v>
      </c>
      <c r="D8" s="6" t="n">
        <v>2</v>
      </c>
      <c r="E8" s="6" t="n">
        <v>2</v>
      </c>
      <c r="F8" s="6">
        <f>3*C8+1*D8+2*E8</f>
        <v/>
      </c>
      <c r="G8" s="37" t="n">
        <v>8.99</v>
      </c>
      <c r="H8" s="37">
        <f>C8*G8</f>
        <v/>
      </c>
      <c r="I8" s="37">
        <f>D8*G8</f>
        <v/>
      </c>
      <c r="J8" s="37">
        <f>E8*G8</f>
        <v/>
      </c>
      <c r="K8" s="37">
        <f>F8*G8</f>
        <v/>
      </c>
      <c r="L8" s="63" t="n">
        <v>2.26</v>
      </c>
      <c r="M8" s="38">
        <f>F8*L8</f>
        <v/>
      </c>
      <c r="N8" s="7" t="inlineStr">
        <is>
          <t>Sat dessert (buddy-pair shares)</t>
        </is>
      </c>
    </row>
    <row r="9">
      <c r="A9" s="60" t="inlineStr">
        <is>
          <t>☐</t>
        </is>
      </c>
      <c r="B9" s="28" t="inlineStr">
        <is>
          <t>Justin's Dark Chocolate Peanut Butter Cups</t>
        </is>
      </c>
      <c r="C9" s="29" t="n">
        <v>3</v>
      </c>
      <c r="D9" s="29" t="n">
        <v>4</v>
      </c>
      <c r="E9" s="29" t="n">
        <v>3</v>
      </c>
      <c r="F9" s="29">
        <f>3*C9+1*D9+2*E9</f>
        <v/>
      </c>
      <c r="G9" s="31" t="n">
        <v>1.49</v>
      </c>
      <c r="H9" s="31">
        <f>C9*G9</f>
        <v/>
      </c>
      <c r="I9" s="31">
        <f>D9*G9</f>
        <v/>
      </c>
      <c r="J9" s="31">
        <f>E9*G9</f>
        <v/>
      </c>
      <c r="K9" s="31">
        <f>F9*G9</f>
        <v/>
      </c>
      <c r="L9" s="62" t="n">
        <v>1.41</v>
      </c>
      <c r="M9" s="32">
        <f>F9*L9</f>
        <v/>
      </c>
      <c r="N9" s="28" t="inlineStr">
        <is>
          <t>⚠ NUT ALLERGY SWAP: Honey Stinger waffle</t>
        </is>
      </c>
    </row>
    <row r="10">
      <c r="A10" s="65" t="inlineStr">
        <is>
          <t>☐</t>
        </is>
      </c>
      <c r="B10" s="66" t="inlineStr">
        <is>
          <t>Columbus Hard Salami (sliced packet)</t>
        </is>
      </c>
      <c r="C10" s="67" t="n">
        <v>3</v>
      </c>
      <c r="D10" s="67" t="n">
        <v>4</v>
      </c>
      <c r="E10" s="67" t="n">
        <v>3</v>
      </c>
      <c r="F10" s="67">
        <f>3*C10+1*D10+2*E10</f>
        <v/>
      </c>
      <c r="G10" s="68" t="n">
        <v>2.99</v>
      </c>
      <c r="H10" s="68">
        <f>C10*G10</f>
        <v/>
      </c>
      <c r="I10" s="68">
        <f>D10*G10</f>
        <v/>
      </c>
      <c r="J10" s="68">
        <f>E10*G10</f>
        <v/>
      </c>
      <c r="K10" s="68">
        <f>F10*G10</f>
        <v/>
      </c>
      <c r="L10" s="69" t="n">
        <v>2</v>
      </c>
      <c r="M10" s="70">
        <f>F10*L10</f>
        <v/>
      </c>
      <c r="N10" s="66" t="inlineStr">
        <is>
          <t>Sat lunch; 1/person</t>
        </is>
      </c>
    </row>
    <row r="11">
      <c r="A11" s="11" t="inlineStr">
        <is>
          <t>☐</t>
        </is>
      </c>
      <c r="B11" s="10" t="inlineStr">
        <is>
          <t>Wasa Crisp'n Light Crackerbread</t>
        </is>
      </c>
      <c r="C11" s="9" t="n">
        <v>3</v>
      </c>
      <c r="D11" s="9" t="n">
        <v>4</v>
      </c>
      <c r="E11" s="9" t="n">
        <v>3</v>
      </c>
      <c r="F11" s="9">
        <f>3*C11+1*D11+2*E11</f>
        <v/>
      </c>
      <c r="G11" s="34" t="n">
        <v>0.5</v>
      </c>
      <c r="H11" s="34">
        <f>C11*G11</f>
        <v/>
      </c>
      <c r="I11" s="34">
        <f>D11*G11</f>
        <v/>
      </c>
      <c r="J11" s="34">
        <f>E11*G11</f>
        <v/>
      </c>
      <c r="K11" s="34">
        <f>F11*G11</f>
        <v/>
      </c>
      <c r="L11" s="64" t="n">
        <v>1</v>
      </c>
      <c r="M11" s="35">
        <f>F11*L11</f>
        <v/>
      </c>
      <c r="N11" s="10" t="inlineStr">
        <is>
          <t>Sat lunch; 1/person</t>
        </is>
      </c>
    </row>
    <row r="12">
      <c r="A12" s="65" t="inlineStr">
        <is>
          <t>☐</t>
        </is>
      </c>
      <c r="B12" s="66" t="inlineStr">
        <is>
          <t>Chicken of the Sea Shredded Chicken Pouch</t>
        </is>
      </c>
      <c r="C12" s="67" t="n">
        <v>3</v>
      </c>
      <c r="D12" s="67" t="n">
        <v>4</v>
      </c>
      <c r="E12" s="67" t="n">
        <v>3</v>
      </c>
      <c r="F12" s="67">
        <f>3*C12+1*D12+2*E12</f>
        <v/>
      </c>
      <c r="G12" s="68" t="n">
        <v>2.29</v>
      </c>
      <c r="H12" s="68">
        <f>C12*G12</f>
        <v/>
      </c>
      <c r="I12" s="68">
        <f>D12*G12</f>
        <v/>
      </c>
      <c r="J12" s="68">
        <f>E12*G12</f>
        <v/>
      </c>
      <c r="K12" s="68">
        <f>F12*G12</f>
        <v/>
      </c>
      <c r="L12" s="69" t="n">
        <v>2.5</v>
      </c>
      <c r="M12" s="70">
        <f>F12*L12</f>
        <v/>
      </c>
      <c r="N12" s="66" t="inlineStr">
        <is>
          <t>Sun lunch; 1/person</t>
        </is>
      </c>
    </row>
    <row r="13">
      <c r="A13" s="65" t="inlineStr">
        <is>
          <t>☐</t>
        </is>
      </c>
      <c r="B13" s="66" t="inlineStr">
        <is>
          <t>Mission Street Taco Flour Tortillas</t>
        </is>
      </c>
      <c r="C13" s="67" t="n">
        <v>18</v>
      </c>
      <c r="D13" s="67" t="n">
        <v>24</v>
      </c>
      <c r="E13" s="67" t="n">
        <v>18</v>
      </c>
      <c r="F13" s="67">
        <f>3*C13+1*D13+2*E13</f>
        <v/>
      </c>
      <c r="G13" s="68" t="n">
        <v>0.25</v>
      </c>
      <c r="H13" s="68">
        <f>C13*G13</f>
        <v/>
      </c>
      <c r="I13" s="68">
        <f>D13*G13</f>
        <v/>
      </c>
      <c r="J13" s="68">
        <f>E13*G13</f>
        <v/>
      </c>
      <c r="K13" s="68">
        <f>F13*G13</f>
        <v/>
      </c>
      <c r="L13" s="69" t="n">
        <v>0.5</v>
      </c>
      <c r="M13" s="70">
        <f>F13*L13</f>
        <v/>
      </c>
      <c r="N13" s="66" t="inlineStr">
        <is>
          <t>6/person (Sat din + Sun lunch + Mon lunch)</t>
        </is>
      </c>
    </row>
    <row r="14">
      <c r="A14" s="65" t="inlineStr">
        <is>
          <t>☐</t>
        </is>
      </c>
      <c r="B14" s="66" t="inlineStr">
        <is>
          <t>Tillamook Cheddar Cheese Packets</t>
        </is>
      </c>
      <c r="C14" s="67" t="n">
        <v>12</v>
      </c>
      <c r="D14" s="67" t="n">
        <v>16</v>
      </c>
      <c r="E14" s="67" t="n">
        <v>12</v>
      </c>
      <c r="F14" s="67">
        <f>3*C14+1*D14+2*E14</f>
        <v/>
      </c>
      <c r="G14" s="68" t="n">
        <v>0.75</v>
      </c>
      <c r="H14" s="68">
        <f>C14*G14</f>
        <v/>
      </c>
      <c r="I14" s="68">
        <f>D14*G14</f>
        <v/>
      </c>
      <c r="J14" s="68">
        <f>E14*G14</f>
        <v/>
      </c>
      <c r="K14" s="68">
        <f>F14*G14</f>
        <v/>
      </c>
      <c r="L14" s="69" t="n">
        <v>0.7</v>
      </c>
      <c r="M14" s="70">
        <f>F14*L14</f>
        <v/>
      </c>
      <c r="N14" s="66" t="inlineStr">
        <is>
          <t>4/person (Sat din ×2 + Sat lunch ×1 + Sun lunch ×1)</t>
        </is>
      </c>
    </row>
    <row r="15">
      <c r="A15" s="60" t="inlineStr">
        <is>
          <t>☐</t>
        </is>
      </c>
      <c r="B15" s="28" t="inlineStr">
        <is>
          <t>Justin's Classic PB Squeeze Pack (lunch)</t>
        </is>
      </c>
      <c r="C15" s="29" t="n">
        <v>6</v>
      </c>
      <c r="D15" s="29" t="n">
        <v>8</v>
      </c>
      <c r="E15" s="29" t="n">
        <v>6</v>
      </c>
      <c r="F15" s="29">
        <f>3*C15+1*D15+2*E15</f>
        <v/>
      </c>
      <c r="G15" s="31" t="n">
        <v>1.49</v>
      </c>
      <c r="H15" s="31">
        <f>C15*G15</f>
        <v/>
      </c>
      <c r="I15" s="31">
        <f>D15*G15</f>
        <v/>
      </c>
      <c r="J15" s="31">
        <f>E15*G15</f>
        <v/>
      </c>
      <c r="K15" s="31">
        <f>F15*G15</f>
        <v/>
      </c>
      <c r="L15" s="62" t="n">
        <v>1.15</v>
      </c>
      <c r="M15" s="32">
        <f>F15*L15</f>
        <v/>
      </c>
      <c r="N15" s="28" t="inlineStr">
        <is>
          <t>Sun lunch + Mon lunch; ⚠ NUT</t>
        </is>
      </c>
    </row>
    <row r="16">
      <c r="A16" s="12" t="inlineStr">
        <is>
          <t>☐</t>
        </is>
      </c>
      <c r="B16" s="7" t="inlineStr">
        <is>
          <t>Idahoan Mashed Potatoes – Butter &amp; Herb</t>
        </is>
      </c>
      <c r="C16" s="6" t="n">
        <v>3</v>
      </c>
      <c r="D16" s="6" t="n">
        <v>4</v>
      </c>
      <c r="E16" s="6" t="n">
        <v>3</v>
      </c>
      <c r="F16" s="6">
        <f>3*C16+1*D16+2*E16</f>
        <v/>
      </c>
      <c r="G16" s="37" t="n">
        <v>0.98</v>
      </c>
      <c r="H16" s="37">
        <f>C16*G16</f>
        <v/>
      </c>
      <c r="I16" s="37">
        <f>D16*G16</f>
        <v/>
      </c>
      <c r="J16" s="37">
        <f>E16*G16</f>
        <v/>
      </c>
      <c r="K16" s="37">
        <f>F16*G16</f>
        <v/>
      </c>
      <c r="L16" s="63" t="n">
        <v>1</v>
      </c>
      <c r="M16" s="38">
        <f>F16*L16</f>
        <v/>
      </c>
      <c r="N16" s="7" t="inlineStr">
        <is>
          <t>Sun dinner; 1/person</t>
        </is>
      </c>
    </row>
    <row r="17">
      <c r="A17" s="60" t="inlineStr">
        <is>
          <t>☐</t>
        </is>
      </c>
      <c r="B17" s="28" t="inlineStr">
        <is>
          <t>Kind – Peanut Butter Dark Chocolate Bar</t>
        </is>
      </c>
      <c r="C17" s="29" t="n">
        <v>3</v>
      </c>
      <c r="D17" s="29" t="n">
        <v>4</v>
      </c>
      <c r="E17" s="29" t="n">
        <v>3</v>
      </c>
      <c r="F17" s="29">
        <f>3*C17+1*D17+2*E17</f>
        <v/>
      </c>
      <c r="G17" s="31" t="n">
        <v>1.04</v>
      </c>
      <c r="H17" s="31">
        <f>C17*G17</f>
        <v/>
      </c>
      <c r="I17" s="31">
        <f>D17*G17</f>
        <v/>
      </c>
      <c r="J17" s="31">
        <f>E17*G17</f>
        <v/>
      </c>
      <c r="K17" s="31">
        <f>F17*G17</f>
        <v/>
      </c>
      <c r="L17" s="62" t="n">
        <v>1.4</v>
      </c>
      <c r="M17" s="32">
        <f>F17*L17</f>
        <v/>
      </c>
      <c r="N17" s="28" t="inlineStr">
        <is>
          <t>Sat snacks only; ⚠ NUT</t>
        </is>
      </c>
    </row>
    <row r="18">
      <c r="A18" s="60" t="inlineStr">
        <is>
          <t>☐</t>
        </is>
      </c>
      <c r="B18" s="28" t="inlineStr">
        <is>
          <t>Kind – Caramel Almond Bar (Saturday snacks)</t>
        </is>
      </c>
      <c r="C18" s="29" t="n">
        <v>3</v>
      </c>
      <c r="D18" s="29" t="n">
        <v>4</v>
      </c>
      <c r="E18" s="29" t="n">
        <v>3</v>
      </c>
      <c r="F18" s="29">
        <f>3*C18+1*D18+2*E18</f>
        <v/>
      </c>
      <c r="G18" s="31" t="n">
        <v>1.59</v>
      </c>
      <c r="H18" s="31">
        <f>C18*G18</f>
        <v/>
      </c>
      <c r="I18" s="31">
        <f>D18*G18</f>
        <v/>
      </c>
      <c r="J18" s="31">
        <f>E18*G18</f>
        <v/>
      </c>
      <c r="K18" s="31">
        <f>F18*G18</f>
        <v/>
      </c>
      <c r="L18" s="62" t="n">
        <v>1.4</v>
      </c>
      <c r="M18" s="32">
        <f>F18*L18</f>
        <v/>
      </c>
      <c r="N18" s="28" t="inlineStr">
        <is>
          <t>Sat snacks only; ⚠ NUT</t>
        </is>
      </c>
    </row>
    <row r="19">
      <c r="A19" s="60" t="inlineStr">
        <is>
          <t>☐</t>
        </is>
      </c>
      <c r="B19" s="28" t="inlineStr">
        <is>
          <t>Kind – Dark Choc Nuts &amp; Sea Salt Bar</t>
        </is>
      </c>
      <c r="C19" s="29" t="n">
        <v>3</v>
      </c>
      <c r="D19" s="29" t="n">
        <v>4</v>
      </c>
      <c r="E19" s="29" t="n">
        <v>3</v>
      </c>
      <c r="F19" s="29">
        <f>3*C19+1*D19+2*E19</f>
        <v/>
      </c>
      <c r="G19" s="31" t="n">
        <v>1.04</v>
      </c>
      <c r="H19" s="31">
        <f>C19*G19</f>
        <v/>
      </c>
      <c r="I19" s="31">
        <f>D19*G19</f>
        <v/>
      </c>
      <c r="J19" s="31">
        <f>E19*G19</f>
        <v/>
      </c>
      <c r="K19" s="31">
        <f>F19*G19</f>
        <v/>
      </c>
      <c r="L19" s="62" t="n">
        <v>1.4</v>
      </c>
      <c r="M19" s="32">
        <f>F19*L19</f>
        <v/>
      </c>
      <c r="N19" s="28" t="inlineStr">
        <is>
          <t>Sun snacks only; ⚠ NUT</t>
        </is>
      </c>
    </row>
    <row r="20">
      <c r="A20" s="65" t="inlineStr">
        <is>
          <t>☐</t>
        </is>
      </c>
      <c r="B20" s="66" t="inlineStr">
        <is>
          <t>Krave Sea Salt Original Beef Jerky</t>
        </is>
      </c>
      <c r="C20" s="67" t="n">
        <v>9</v>
      </c>
      <c r="D20" s="67" t="n">
        <v>12</v>
      </c>
      <c r="E20" s="67" t="n">
        <v>9</v>
      </c>
      <c r="F20" s="67">
        <f>3*C20+1*D20+2*E20</f>
        <v/>
      </c>
      <c r="G20" s="68" t="n">
        <v>2.19</v>
      </c>
      <c r="H20" s="68">
        <f>C20*G20</f>
        <v/>
      </c>
      <c r="I20" s="68">
        <f>D20*G20</f>
        <v/>
      </c>
      <c r="J20" s="68">
        <f>E20*G20</f>
        <v/>
      </c>
      <c r="K20" s="68">
        <f>F20*G20</f>
        <v/>
      </c>
      <c r="L20" s="69" t="n">
        <v>1.48</v>
      </c>
      <c r="M20" s="70">
        <f>F20*L20</f>
        <v/>
      </c>
      <c r="N20" s="66" t="inlineStr">
        <is>
          <t>1/person × 3 snack days</t>
        </is>
      </c>
    </row>
    <row r="21">
      <c r="A21" s="60" t="inlineStr">
        <is>
          <t>☐</t>
        </is>
      </c>
      <c r="B21" s="28" t="inlineStr">
        <is>
          <t>Clif Bar – Crunchy Peanut Butter</t>
        </is>
      </c>
      <c r="C21" s="29" t="n">
        <v>6</v>
      </c>
      <c r="D21" s="29" t="n">
        <v>8</v>
      </c>
      <c r="E21" s="29" t="n">
        <v>6</v>
      </c>
      <c r="F21" s="29">
        <f>3*C21+1*D21+2*E21</f>
        <v/>
      </c>
      <c r="G21" s="31" t="n">
        <v>1.29</v>
      </c>
      <c r="H21" s="31">
        <f>C21*G21</f>
        <v/>
      </c>
      <c r="I21" s="31">
        <f>D21*G21</f>
        <v/>
      </c>
      <c r="J21" s="31">
        <f>E21*G21</f>
        <v/>
      </c>
      <c r="K21" s="31">
        <f>F21*G21</f>
        <v/>
      </c>
      <c r="L21" s="62" t="n">
        <v>2.4</v>
      </c>
      <c r="M21" s="32">
        <f>F21*L21</f>
        <v/>
      </c>
      <c r="N21" s="28" t="inlineStr">
        <is>
          <t>Sun lunch + Mon snack; ⚠ NUT</t>
        </is>
      </c>
    </row>
    <row r="22">
      <c r="A22" s="60" t="inlineStr">
        <is>
          <t>☐</t>
        </is>
      </c>
      <c r="B22" s="28" t="inlineStr">
        <is>
          <t>Clif Builder's – Crunchy Peanut Butter</t>
        </is>
      </c>
      <c r="C22" s="29" t="n">
        <v>0</v>
      </c>
      <c r="D22" s="29" t="n">
        <v>0</v>
      </c>
      <c r="E22" s="29" t="n">
        <v>3</v>
      </c>
      <c r="F22" s="29">
        <f>3*C22+1*D22+2*E22</f>
        <v/>
      </c>
      <c r="G22" s="31" t="n">
        <v>2.17</v>
      </c>
      <c r="H22" s="31">
        <f>C22*G22</f>
        <v/>
      </c>
      <c r="I22" s="31">
        <f>D22*G22</f>
        <v/>
      </c>
      <c r="J22" s="31">
        <f>E22*G22</f>
        <v/>
      </c>
      <c r="K22" s="31">
        <f>F22*G22</f>
        <v/>
      </c>
      <c r="L22" s="62" t="n">
        <v>2.4</v>
      </c>
      <c r="M22" s="32">
        <f>F22*L22</f>
        <v/>
      </c>
      <c r="N22" s="28" t="inlineStr">
        <is>
          <t>Adult supplement; ⚠ NUT</t>
        </is>
      </c>
    </row>
    <row r="23">
      <c r="A23" s="60" t="inlineStr">
        <is>
          <t>☐</t>
        </is>
      </c>
      <c r="B23" s="28" t="inlineStr">
        <is>
          <t>Justin's Classic PB Squeeze Pack (adult supp)</t>
        </is>
      </c>
      <c r="C23" s="29" t="n">
        <v>0</v>
      </c>
      <c r="D23" s="29" t="n">
        <v>0</v>
      </c>
      <c r="E23" s="29" t="n">
        <v>3</v>
      </c>
      <c r="F23" s="29">
        <f>3*C23+1*D23+2*E23</f>
        <v/>
      </c>
      <c r="G23" s="31" t="n">
        <v>1.49</v>
      </c>
      <c r="H23" s="31">
        <f>C23*G23</f>
        <v/>
      </c>
      <c r="I23" s="31">
        <f>D23*G23</f>
        <v/>
      </c>
      <c r="J23" s="31">
        <f>E23*G23</f>
        <v/>
      </c>
      <c r="K23" s="31">
        <f>F23*G23</f>
        <v/>
      </c>
      <c r="L23" s="62" t="n">
        <v>1.15</v>
      </c>
      <c r="M23" s="32">
        <f>F23*L23</f>
        <v/>
      </c>
      <c r="N23" s="28" t="inlineStr">
        <is>
          <t>Adult supplement; ⚠ NUT</t>
        </is>
      </c>
    </row>
    <row r="24">
      <c r="A24" s="65" t="inlineStr">
        <is>
          <t>☐</t>
        </is>
      </c>
      <c r="B24" s="66" t="inlineStr">
        <is>
          <t>Swiss Miss Hot Chocolate</t>
        </is>
      </c>
      <c r="C24" s="67" t="n">
        <v>12</v>
      </c>
      <c r="D24" s="67" t="n">
        <v>16</v>
      </c>
      <c r="E24" s="67" t="n">
        <v>0</v>
      </c>
      <c r="F24" s="67">
        <f>3*C24+1*D24+2*E24</f>
        <v/>
      </c>
      <c r="G24" s="68" t="n">
        <v>0.38</v>
      </c>
      <c r="H24" s="68">
        <f>C24*G24</f>
        <v/>
      </c>
      <c r="I24" s="68">
        <f>D24*G24</f>
        <v/>
      </c>
      <c r="J24" s="68">
        <f>E24*G24</f>
        <v/>
      </c>
      <c r="K24" s="68">
        <f>F24*G24</f>
        <v/>
      </c>
      <c r="L24" s="69" t="n">
        <v>0.73</v>
      </c>
      <c r="M24" s="70">
        <f>F24*L24</f>
        <v/>
      </c>
      <c r="N24" s="66" t="inlineStr">
        <is>
          <t>Scout cans only; Sat din + Sun bkfst + Sun din + Mon bkfst</t>
        </is>
      </c>
    </row>
    <row r="25">
      <c r="A25" s="65" t="inlineStr">
        <is>
          <t>☐</t>
        </is>
      </c>
      <c r="B25" s="66" t="inlineStr">
        <is>
          <t>Gatorade Powder Pack</t>
        </is>
      </c>
      <c r="C25" s="67" t="n">
        <v>12</v>
      </c>
      <c r="D25" s="67" t="n">
        <v>16</v>
      </c>
      <c r="E25" s="67" t="n">
        <v>12</v>
      </c>
      <c r="F25" s="67">
        <f>3*C25+1*D25+2*E25</f>
        <v/>
      </c>
      <c r="G25" s="68" t="n">
        <v>0.38</v>
      </c>
      <c r="H25" s="68">
        <f>C25*G25</f>
        <v/>
      </c>
      <c r="I25" s="68">
        <f>D25*G25</f>
        <v/>
      </c>
      <c r="J25" s="68">
        <f>E25*G25</f>
        <v/>
      </c>
      <c r="K25" s="68">
        <f>F25*G25</f>
        <v/>
      </c>
      <c r="L25" s="69" t="n">
        <v>1.23</v>
      </c>
      <c r="M25" s="70">
        <f>F25*L25</f>
        <v/>
      </c>
      <c r="N25" s="66" t="inlineStr">
        <is>
          <t>4/person (1+2+1 days)</t>
        </is>
      </c>
    </row>
    <row r="26">
      <c r="A26" s="12" t="inlineStr">
        <is>
          <t>☐</t>
        </is>
      </c>
      <c r="B26" s="7" t="inlineStr">
        <is>
          <t>Peak Refuel – Fudge Brownie Bites</t>
        </is>
      </c>
      <c r="C26" s="6" t="n">
        <v>2</v>
      </c>
      <c r="D26" s="6" t="n">
        <v>2</v>
      </c>
      <c r="E26" s="6" t="n">
        <v>2</v>
      </c>
      <c r="F26" s="6">
        <f>3*C26+1*D26+2*E26</f>
        <v/>
      </c>
      <c r="G26" s="37" t="n">
        <v>4.99</v>
      </c>
      <c r="H26" s="37">
        <f>C26*G26</f>
        <v/>
      </c>
      <c r="I26" s="37">
        <f>D26*G26</f>
        <v/>
      </c>
      <c r="J26" s="37">
        <f>E26*G26</f>
        <v/>
      </c>
      <c r="K26" s="37">
        <f>F26*G26</f>
        <v/>
      </c>
      <c r="L26" s="63" t="n">
        <v>1.5</v>
      </c>
      <c r="M26" s="38">
        <f>F26*L26</f>
        <v/>
      </c>
      <c r="N26" s="7" t="inlineStr">
        <is>
          <t>Mon afternoon snack · no cook</t>
        </is>
      </c>
    </row>
    <row r="27">
      <c r="A27" s="11" t="inlineStr">
        <is>
          <t>☐</t>
        </is>
      </c>
      <c r="B27" s="10" t="inlineStr">
        <is>
          <t>Trader Joe's Dried Mango Slices (1 oz/person)</t>
        </is>
      </c>
      <c r="C27" s="9" t="n">
        <v>3</v>
      </c>
      <c r="D27" s="9" t="n">
        <v>4</v>
      </c>
      <c r="E27" s="9" t="n">
        <v>3</v>
      </c>
      <c r="F27" s="9">
        <f>3*C27+1*D27+2*E27</f>
        <v/>
      </c>
      <c r="G27" s="34" t="n">
        <v>0.55</v>
      </c>
      <c r="H27" s="34">
        <f>C27*G27</f>
        <v/>
      </c>
      <c r="I27" s="34">
        <f>D27*G27</f>
        <v/>
      </c>
      <c r="J27" s="34">
        <f>E27*G27</f>
        <v/>
      </c>
      <c r="K27" s="34">
        <f>F27*G27</f>
        <v/>
      </c>
      <c r="L27" s="64" t="n">
        <v>1</v>
      </c>
      <c r="M27" s="35">
        <f>F27*L27</f>
        <v/>
      </c>
      <c r="N27" s="10" t="inlineStr">
        <is>
          <t>Sat snack · nut-free ✓</t>
        </is>
      </c>
    </row>
    <row r="28">
      <c r="A28" s="65" t="inlineStr">
        <is>
          <t>☐</t>
        </is>
      </c>
      <c r="B28" s="66" t="inlineStr">
        <is>
          <t>Banana Chips (1 oz/person)</t>
        </is>
      </c>
      <c r="C28" s="67" t="n">
        <v>3</v>
      </c>
      <c r="D28" s="67" t="n">
        <v>4</v>
      </c>
      <c r="E28" s="67" t="n">
        <v>3</v>
      </c>
      <c r="F28" s="67">
        <f>3*C28+1*D28+2*E28</f>
        <v/>
      </c>
      <c r="G28" s="68" t="n">
        <v>0.45</v>
      </c>
      <c r="H28" s="68">
        <f>C28*G28</f>
        <v/>
      </c>
      <c r="I28" s="68">
        <f>D28*G28</f>
        <v/>
      </c>
      <c r="J28" s="68">
        <f>E28*G28</f>
        <v/>
      </c>
      <c r="K28" s="68">
        <f>F28*G28</f>
        <v/>
      </c>
      <c r="L28" s="69" t="n">
        <v>1</v>
      </c>
      <c r="M28" s="70">
        <f>F28*L28</f>
        <v/>
      </c>
      <c r="N28" s="66" t="inlineStr">
        <is>
          <t>Sun snack · nut-free ✓</t>
        </is>
      </c>
    </row>
    <row r="29">
      <c r="A29" s="60" t="inlineStr">
        <is>
          <t>☐</t>
        </is>
      </c>
      <c r="B29" s="28" t="inlineStr">
        <is>
          <t>88 Acres Seed + Oat Bars (variety — allergy scout)</t>
        </is>
      </c>
      <c r="C29" s="29" t="n">
        <v>0</v>
      </c>
      <c r="D29" s="29" t="n">
        <v>0</v>
      </c>
      <c r="E29" s="29" t="n">
        <v>0</v>
      </c>
      <c r="F29" s="29" t="n">
        <v>3</v>
      </c>
      <c r="G29" s="31" t="n">
        <v>2.4</v>
      </c>
      <c r="H29" s="31">
        <f>C29*G29</f>
        <v/>
      </c>
      <c r="I29" s="31">
        <f>D29*G29</f>
        <v/>
      </c>
      <c r="J29" s="31">
        <f>E29*G29</f>
        <v/>
      </c>
      <c r="K29" s="31">
        <f>F29*G29</f>
        <v/>
      </c>
      <c r="L29" s="62" t="n">
        <v>1.4</v>
      </c>
      <c r="M29" s="32">
        <f>F29*L29</f>
        <v/>
      </c>
      <c r="N29" s="28" t="inlineStr">
        <is>
          <t>Allergy scout: replaces Kind PB (Sat) + Kind DCS (Sun)</t>
        </is>
      </c>
    </row>
    <row r="30">
      <c r="A30" s="60" t="inlineStr">
        <is>
          <t>☐</t>
        </is>
      </c>
      <c r="B30" s="28" t="inlineStr">
        <is>
          <t>Once Again Organic Sunflower Butter Squeeze Pack</t>
        </is>
      </c>
      <c r="C30" s="29" t="n">
        <v>0</v>
      </c>
      <c r="D30" s="29" t="n">
        <v>0</v>
      </c>
      <c r="E30" s="29" t="n">
        <v>0</v>
      </c>
      <c r="F30" s="29" t="n">
        <v>2</v>
      </c>
      <c r="G30" s="31" t="n">
        <v>1.5</v>
      </c>
      <c r="H30" s="31">
        <f>C30*G30</f>
        <v/>
      </c>
      <c r="I30" s="31">
        <f>D30*G30</f>
        <v/>
      </c>
      <c r="J30" s="31">
        <f>E30*G30</f>
        <v/>
      </c>
      <c r="K30" s="31">
        <f>F30*G30</f>
        <v/>
      </c>
      <c r="L30" s="62" t="n">
        <v>1.15</v>
      </c>
      <c r="M30" s="32">
        <f>F30*L30</f>
        <v/>
      </c>
      <c r="N30" s="28" t="inlineStr">
        <is>
          <t>Allergy scout: replaces Justin's PB on Sun + Mon lunch</t>
        </is>
      </c>
    </row>
    <row r="31">
      <c r="A31" s="60" t="inlineStr">
        <is>
          <t>☐</t>
        </is>
      </c>
      <c r="B31" s="28" t="inlineStr">
        <is>
          <t>Honey Stinger Gold Waffle (allergy scout contingency)</t>
        </is>
      </c>
      <c r="C31" s="29" t="n">
        <v>0</v>
      </c>
      <c r="D31" s="29" t="n">
        <v>0</v>
      </c>
      <c r="E31" s="29" t="n">
        <v>0</v>
      </c>
      <c r="F31" s="29" t="n">
        <v>2</v>
      </c>
      <c r="G31" s="31" t="n">
        <v>1.09</v>
      </c>
      <c r="H31" s="31">
        <f>C31*G31</f>
        <v/>
      </c>
      <c r="I31" s="31">
        <f>D31*G31</f>
        <v/>
      </c>
      <c r="J31" s="31">
        <f>E31*G31</f>
        <v/>
      </c>
      <c r="K31" s="31">
        <f>F31*G31</f>
        <v/>
      </c>
      <c r="L31" s="62" t="n">
        <v>1</v>
      </c>
      <c r="M31" s="32">
        <f>F31*L31</f>
        <v/>
      </c>
      <c r="N31" s="28" t="inlineStr">
        <is>
          <t>Allergy scout: replaces Crème Brûlée or PB Cups</t>
        </is>
      </c>
    </row>
    <row r="32">
      <c r="A32" s="55" t="inlineStr"/>
      <c r="B32" s="55" t="inlineStr">
        <is>
          <t>GRAND TOTAL — ALL FOOD (19 people)</t>
        </is>
      </c>
      <c r="C32" s="55" t="n"/>
      <c r="D32" s="55" t="n"/>
      <c r="E32" s="55" t="n"/>
      <c r="F32" s="55" t="n"/>
      <c r="G32" s="55" t="n"/>
      <c r="H32" s="71">
        <f>SUM(H4:H31)</f>
        <v/>
      </c>
      <c r="I32" s="71">
        <f>SUM(I4:I31)</f>
        <v/>
      </c>
      <c r="J32" s="71">
        <f>SUM(J4:J31)</f>
        <v/>
      </c>
      <c r="K32" s="71">
        <f>SUM(K4:K31)</f>
        <v/>
      </c>
      <c r="L32" s="55" t="n"/>
      <c r="M32" s="72">
        <f>SUM(M4:M31)</f>
        <v/>
      </c>
      <c r="N32" s="55" t="n"/>
    </row>
    <row r="33">
      <c r="A33" s="39" t="n"/>
      <c r="B33" s="39" t="inlineStr">
        <is>
          <t>Per Person Cost (Group Total ÷ 19)</t>
        </is>
      </c>
      <c r="C33" s="39" t="n"/>
      <c r="D33" s="39" t="n"/>
      <c r="E33" s="39" t="n"/>
      <c r="F33" s="39" t="n"/>
      <c r="G33" s="39" t="n"/>
      <c r="H33" s="39" t="n"/>
      <c r="I33" s="39" t="n"/>
      <c r="J33" s="39" t="n"/>
      <c r="K33" s="73">
        <f>K32/19</f>
        <v/>
      </c>
      <c r="L33" s="39" t="n"/>
      <c r="M33" s="39" t="n"/>
      <c r="N33" s="3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61" customWidth="1" min="1" max="1"/>
    <col width="13" customWidth="1" min="2" max="2"/>
    <col width="28" customWidth="1" min="3" max="3"/>
    <col width="37" customWidth="1" min="4" max="4"/>
    <col width="32" customWidth="1" min="5" max="5"/>
    <col width="32" customWidth="1" min="6" max="6"/>
    <col width="10" customWidth="1" min="7" max="7"/>
    <col width="24" customWidth="1" min="8" max="8"/>
  </cols>
  <sheetData>
    <row r="1">
      <c r="A1" s="1" t="inlineStr">
        <is>
          <t>Nut Allergy Accommodation — Individual Scout Carry Pack</t>
        </is>
      </c>
    </row>
    <row r="2">
      <c r="A2" s="2" t="inlineStr">
        <is>
          <t>Pre-pack all items in a labelled zip-lock or dry bag for this scout. They carry it personally and swap at each nut-item moment. Main canisters are UNCHANGED.</t>
        </is>
      </c>
    </row>
    <row r="3"/>
    <row r="4" ht="24" customHeight="1">
      <c r="A4" s="4" t="inlineStr">
        <is>
          <t>Day</t>
        </is>
      </c>
      <c r="B4" s="4" t="inlineStr">
        <is>
          <t>Meal</t>
        </is>
      </c>
      <c r="C4" s="4" t="inlineStr">
        <is>
          <t>Remove (has nuts)</t>
        </is>
      </c>
      <c r="D4" s="4" t="inlineStr">
        <is>
          <t>Nuts in it</t>
        </is>
      </c>
      <c r="E4" s="4" t="inlineStr">
        <is>
          <t>Replace with</t>
        </is>
      </c>
      <c r="F4" s="4" t="inlineStr">
        <is>
          <t>Why safe</t>
        </is>
      </c>
      <c r="G4" s="4" t="inlineStr">
        <is>
          <t>kcal</t>
        </is>
      </c>
      <c r="H4" s="4" t="inlineStr">
        <is>
          <t>Where to buy</t>
        </is>
      </c>
    </row>
    <row r="5">
      <c r="A5" s="9" t="inlineStr">
        <is>
          <t>Sat Apr 4</t>
        </is>
      </c>
      <c r="B5" s="9" t="inlineStr">
        <is>
          <t>Snacks</t>
        </is>
      </c>
      <c r="C5" s="10" t="inlineStr">
        <is>
          <t>Kind PB Dark Choc Bar</t>
        </is>
      </c>
      <c r="D5" s="10" t="inlineStr">
        <is>
          <t>Peanuts, almonds</t>
        </is>
      </c>
      <c r="E5" s="10" t="inlineStr">
        <is>
          <t>88 Acres Dark Choc Sea Salt Seed + Oat Bar</t>
        </is>
      </c>
      <c r="F5" s="10" t="inlineStr">
        <is>
          <t>Dedicated nut-free bakery. Free from top 9.</t>
        </is>
      </c>
      <c r="G5" s="74" t="n">
        <v>150</v>
      </c>
      <c r="H5" s="10" t="inlineStr">
        <is>
          <t>Amazon / 88acres.com</t>
        </is>
      </c>
    </row>
    <row r="6">
      <c r="A6" s="6" t="inlineStr">
        <is>
          <t>Sat Apr 4</t>
        </is>
      </c>
      <c r="B6" s="6" t="inlineStr">
        <is>
          <t>Snacks</t>
        </is>
      </c>
      <c r="C6" s="7" t="inlineStr">
        <is>
          <t>Kind – Caramel Almond &amp; Peanut Bar</t>
        </is>
      </c>
      <c r="D6" s="7" t="inlineStr">
        <is>
          <t>Almonds, peanuts</t>
        </is>
      </c>
      <c r="E6" s="7" t="inlineStr">
        <is>
          <t>88 Acres Cinnamon Maple Seed + Oat Bar</t>
        </is>
      </c>
      <c r="F6" s="7" t="inlineStr">
        <is>
          <t>Same nut-free facility.</t>
        </is>
      </c>
      <c r="G6" s="75" t="n">
        <v>150</v>
      </c>
      <c r="H6" s="7" t="inlineStr">
        <is>
          <t>Amazon / 88acres.com</t>
        </is>
      </c>
    </row>
    <row r="7">
      <c r="A7" s="9" t="inlineStr">
        <is>
          <t>Sat Apr 4</t>
        </is>
      </c>
      <c r="B7" s="9" t="inlineStr">
        <is>
          <t>Dessert</t>
        </is>
      </c>
      <c r="C7" s="10" t="inlineStr">
        <is>
          <t>BP Crème Brûlée</t>
        </is>
      </c>
      <c r="D7" s="10" t="inlineStr">
        <is>
          <t>Check label - may contain cashews</t>
        </is>
      </c>
      <c r="E7" s="10" t="inlineStr">
        <is>
          <t>Honey Stinger Gold Waffle (contingency)</t>
        </is>
      </c>
      <c r="F7" s="10" t="inlineStr">
        <is>
          <t>Honey Stinger: simple ingredients, no nuts.</t>
        </is>
      </c>
      <c r="G7" s="74" t="n">
        <v>160</v>
      </c>
      <c r="H7" s="10" t="inlineStr">
        <is>
          <t>REI / Amazon</t>
        </is>
      </c>
    </row>
    <row r="8">
      <c r="A8" s="6" t="inlineStr">
        <is>
          <t>Sun Apr 5</t>
        </is>
      </c>
      <c r="B8" s="6" t="inlineStr">
        <is>
          <t>Breakfast</t>
        </is>
      </c>
      <c r="C8" s="7" t="inlineStr">
        <is>
          <t>MET-Rx Big100 Super Cookie Crunch</t>
        </is>
      </c>
      <c r="D8" s="7" t="inlineStr">
        <is>
          <t>Peanuts, almonds, tree nuts</t>
        </is>
      </c>
      <c r="E8" s="7" t="inlineStr">
        <is>
          <t>No Nuts! Chocolate Chip Protein Bar</t>
        </is>
      </c>
      <c r="F8" s="7" t="inlineStr">
        <is>
          <t>Certified 100% nut-free facility. 12g protein.</t>
        </is>
      </c>
      <c r="G8" s="75" t="n">
        <v>185</v>
      </c>
      <c r="H8" s="7" t="inlineStr">
        <is>
          <t>Amazon / gononuts.com</t>
        </is>
      </c>
    </row>
    <row r="9">
      <c r="A9" s="9" t="inlineStr">
        <is>
          <t>Sun Apr 5</t>
        </is>
      </c>
      <c r="B9" s="9" t="inlineStr">
        <is>
          <t>Snacks</t>
        </is>
      </c>
      <c r="C9" s="10" t="inlineStr">
        <is>
          <t>Kind – Dark Choc Nuts &amp; Sea Salt Bar</t>
        </is>
      </c>
      <c r="D9" s="10" t="inlineStr">
        <is>
          <t>Almonds, peanuts, cashews</t>
        </is>
      </c>
      <c r="E9" s="10" t="inlineStr">
        <is>
          <t>88 Acres bar (any flavor)</t>
        </is>
      </c>
      <c r="F9" s="10" t="inlineStr">
        <is>
          <t>Same nut-free facility.</t>
        </is>
      </c>
      <c r="G9" s="74" t="n">
        <v>150</v>
      </c>
      <c r="H9" s="10" t="inlineStr">
        <is>
          <t>Amazon / 88acres.com</t>
        </is>
      </c>
    </row>
    <row r="10">
      <c r="A10" s="6" t="inlineStr">
        <is>
          <t>Sun Apr 5</t>
        </is>
      </c>
      <c r="B10" s="6" t="inlineStr">
        <is>
          <t>Lunch</t>
        </is>
      </c>
      <c r="C10" s="7" t="inlineStr">
        <is>
          <t>Clif Bar – Crunchy PB</t>
        </is>
      </c>
      <c r="D10" s="7" t="inlineStr">
        <is>
          <t>Peanuts</t>
        </is>
      </c>
      <c r="E10" s="7" t="inlineStr">
        <is>
          <t>Clif Bar – Chocolate Chip</t>
        </is>
      </c>
      <c r="F10" s="7" t="inlineStr">
        <is>
          <t>Clif Chocolate Chip: no nuts in ingredients.</t>
        </is>
      </c>
      <c r="G10" s="75" t="n">
        <v>250</v>
      </c>
      <c r="H10" s="7" t="inlineStr">
        <is>
          <t>Add to main Costco order</t>
        </is>
      </c>
    </row>
    <row r="11">
      <c r="A11" s="9" t="inlineStr">
        <is>
          <t>Sun Apr 5</t>
        </is>
      </c>
      <c r="B11" s="9" t="inlineStr">
        <is>
          <t>Lunch</t>
        </is>
      </c>
      <c r="C11" s="10" t="inlineStr">
        <is>
          <t>Justin's Classic PB Squeeze Pack</t>
        </is>
      </c>
      <c r="D11" s="10" t="inlineStr">
        <is>
          <t>Peanuts</t>
        </is>
      </c>
      <c r="E11" s="10" t="inlineStr">
        <is>
          <t>Once Again Sunflower Butter Squeeze Pack</t>
        </is>
      </c>
      <c r="F11" s="10" t="inlineStr">
        <is>
          <t>Peanut-free facility. Free from top 9.</t>
        </is>
      </c>
      <c r="G11" s="74" t="n">
        <v>200</v>
      </c>
      <c r="H11" s="10" t="inlineStr">
        <is>
          <t>Amazon</t>
        </is>
      </c>
    </row>
    <row r="12">
      <c r="A12" s="6" t="inlineStr">
        <is>
          <t>Sun Apr 5</t>
        </is>
      </c>
      <c r="B12" s="6" t="inlineStr">
        <is>
          <t>Dessert</t>
        </is>
      </c>
      <c r="C12" s="7" t="inlineStr">
        <is>
          <t>Justin's Dark Choc PB Cups</t>
        </is>
      </c>
      <c r="D12" s="7" t="inlineStr">
        <is>
          <t>Peanuts, almonds</t>
        </is>
      </c>
      <c r="E12" s="7" t="inlineStr">
        <is>
          <t>Honey Stinger Gold Waffle or Enjoy Life Choc</t>
        </is>
      </c>
      <c r="F12" s="7" t="inlineStr">
        <is>
          <t>No nuts. Enjoy Life: top-14 free.</t>
        </is>
      </c>
      <c r="G12" s="75" t="n">
        <v>160</v>
      </c>
      <c r="H12" s="7" t="inlineStr">
        <is>
          <t>REI / Amazon</t>
        </is>
      </c>
    </row>
    <row r="13">
      <c r="A13" s="9" t="inlineStr">
        <is>
          <t>Mon Apr 6</t>
        </is>
      </c>
      <c r="B13" s="9" t="inlineStr">
        <is>
          <t>Breakfast</t>
        </is>
      </c>
      <c r="C13" s="10" t="inlineStr">
        <is>
          <t>ProBar Meal – Oatmeal Chocolate Chip</t>
        </is>
      </c>
      <c r="D13" s="10" t="inlineStr">
        <is>
          <t>Cashews</t>
        </is>
      </c>
      <c r="E13" s="10" t="inlineStr">
        <is>
          <t>No Nuts! Cinnamon Roll or Caramel Mocha</t>
        </is>
      </c>
      <c r="F13" s="10" t="inlineStr">
        <is>
          <t>Same certified nut-free facility.</t>
        </is>
      </c>
      <c r="G13" s="74" t="n">
        <v>185</v>
      </c>
      <c r="H13" s="10" t="inlineStr">
        <is>
          <t>Amazon / gononuts.com</t>
        </is>
      </c>
    </row>
    <row r="14">
      <c r="A14" s="6" t="inlineStr">
        <is>
          <t>Mon Apr 6</t>
        </is>
      </c>
      <c r="B14" s="6" t="inlineStr">
        <is>
          <t>Snacks</t>
        </is>
      </c>
      <c r="C14" s="7" t="inlineStr">
        <is>
          <t>Clif Bar – Crunchy PB</t>
        </is>
      </c>
      <c r="D14" s="7" t="inlineStr">
        <is>
          <t>Peanuts</t>
        </is>
      </c>
      <c r="E14" s="7" t="inlineStr">
        <is>
          <t>Clif Bar – Chocolate Chip</t>
        </is>
      </c>
      <c r="F14" s="7" t="inlineStr">
        <is>
          <t>Clif Chocolate Chip: no nuts in ingredients.</t>
        </is>
      </c>
      <c r="G14" s="75" t="n">
        <v>250</v>
      </c>
      <c r="H14" s="7" t="inlineStr">
        <is>
          <t>Add to main Costco order</t>
        </is>
      </c>
    </row>
    <row r="15">
      <c r="A15" s="9" t="inlineStr">
        <is>
          <t>Mon Apr 6</t>
        </is>
      </c>
      <c r="B15" s="9" t="inlineStr">
        <is>
          <t>Lunch</t>
        </is>
      </c>
      <c r="C15" s="10" t="inlineStr">
        <is>
          <t>Justin's Classic PB Squeeze Pack</t>
        </is>
      </c>
      <c r="D15" s="10" t="inlineStr">
        <is>
          <t>Peanuts</t>
        </is>
      </c>
      <c r="E15" s="10" t="inlineStr">
        <is>
          <t>Once Again Sunflower Butter Squeeze Pack</t>
        </is>
      </c>
      <c r="F15" s="10" t="inlineStr">
        <is>
          <t>Peanut-free facility. Free from top 9.</t>
        </is>
      </c>
      <c r="G15" s="74" t="n">
        <v>200</v>
      </c>
      <c r="H15" s="10" t="inlineStr">
        <is>
          <t>Amazon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2026-06-12T19:36:46Z</dcterms:created>
  <dcterms:modified xmlns:dcterms="http://purl.org/dc/terms/" xmlns:xsi="http://www.w3.org/2001/XMLSchema-instance" xsi:type="dcterms:W3CDTF">2026-06-12T19:36:46Z</dcterms:modified>
</cp:coreProperties>
</file>
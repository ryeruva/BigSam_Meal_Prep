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eal Plan (Per Bear Can)" sheetId="2" state="visible" r:id="rId2"/>
    <sheet xmlns:r="http://schemas.openxmlformats.org/officeDocument/2006/relationships" name="Shopping List" sheetId="3" state="visible" r:id="rId3"/>
    <sheet xmlns:r="http://schemas.openxmlformats.org/officeDocument/2006/relationships" name="Packing List" sheetId="4" state="visible" r:id="rId4"/>
    <sheet xmlns:r="http://schemas.openxmlformats.org/officeDocument/2006/relationships" name="Nut Allergy — Scout Pac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kcal&quot;"/>
    <numFmt numFmtId="165" formatCode="&quot;$&quot;#,##0.00"/>
    <numFmt numFmtId="166" formatCode="0.0&quot; oz&quot;"/>
    <numFmt numFmtId="167" formatCode="&quot;~&quot;#,##0&quot; kcal&quot;"/>
    <numFmt numFmtId="168" formatCode="0.0&quot; lbs&quot;"/>
  </numFmts>
  <fonts count="12">
    <font>
      <name val="Calibri"/>
      <family val="2"/>
      <color theme="1"/>
      <sz val="11"/>
      <scheme val="minor"/>
    </font>
    <font>
      <name val="Segoe UI"/>
      <b val="1"/>
      <color rgb="001B365D"/>
      <sz val="16"/>
    </font>
    <font>
      <name val="Segoe UI"/>
      <i val="1"/>
      <color rgb="00555555"/>
      <sz val="11"/>
    </font>
    <font>
      <name val="Segoe UI"/>
      <b val="1"/>
      <color rgb="00FFFFFF"/>
      <sz val="11"/>
    </font>
    <font>
      <name val="Segoe UI"/>
      <i val="1"/>
      <sz val="10"/>
    </font>
    <font>
      <name val="Segoe UI"/>
      <b val="1"/>
      <sz val="10"/>
    </font>
    <font>
      <name val="Segoe UI"/>
      <b val="1"/>
      <color rgb="00FFFFFF"/>
      <sz val="9"/>
    </font>
    <font>
      <name val="Segoe UI"/>
      <b val="1"/>
      <color rgb="00800000"/>
      <sz val="10"/>
    </font>
    <font>
      <name val="Segoe UI"/>
      <sz val="10"/>
    </font>
    <font>
      <name val="Segoe UI"/>
      <b val="1"/>
      <color rgb="00B35A00"/>
      <sz val="10"/>
    </font>
    <font>
      <name val="Segoe UI"/>
      <b val="1"/>
      <color rgb="00FFFFFF"/>
      <sz val="10"/>
    </font>
    <font>
      <name val="Segoe UI"/>
      <b val="1"/>
      <sz val="11"/>
    </font>
  </fonts>
  <fills count="9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008080"/>
        <bgColor rgb="00008080"/>
      </patternFill>
    </fill>
    <fill>
      <patternFill patternType="solid">
        <fgColor rgb="00F2F4F7"/>
        <bgColor rgb="00F2F4F7"/>
      </patternFill>
    </fill>
    <fill>
      <patternFill patternType="solid">
        <fgColor rgb="00FFF2CC"/>
        <bgColor rgb="00FFF2CC"/>
      </patternFill>
    </fill>
    <fill>
      <patternFill patternType="solid">
        <fgColor rgb="00F9FAFB"/>
        <bgColor rgb="00F9FAFB"/>
      </patternFill>
    </fill>
    <fill>
      <patternFill patternType="solid">
        <fgColor rgb="00E6EEF8"/>
        <bgColor rgb="00E6EEF8"/>
      </patternFill>
    </fill>
    <fill>
      <patternFill patternType="solid">
        <fgColor rgb="00FFE5CC"/>
        <bgColor rgb="00FFE5CC"/>
      </patternFill>
    </fill>
  </fills>
  <borders count="4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double">
        <color rgb="00333333"/>
      </bottom>
    </border>
    <border>
      <left style="thin">
        <color rgb="00D3D3D3"/>
      </left>
      <right style="thin">
        <color rgb="00D3D3D3"/>
      </right>
      <top style="medium">
        <color rgb="001B365D"/>
      </top>
      <bottom style="double">
        <color rgb="00333333"/>
      </bottom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7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167" fontId="8" fillId="0" borderId="1" applyAlignment="1" pivotButton="0" quotePrefix="0" xfId="0">
      <alignment horizontal="center" vertical="center"/>
    </xf>
    <xf numFmtId="167" fontId="8" fillId="6" borderId="1" applyAlignment="1" pivotButton="0" quotePrefix="0" xfId="0">
      <alignment horizontal="center" vertical="center"/>
    </xf>
    <xf numFmtId="167" fontId="5" fillId="7" borderId="2" applyAlignment="1" pivotButton="0" quotePrefix="0" xfId="0">
      <alignment horizontal="center" vertical="center"/>
    </xf>
    <xf numFmtId="165" fontId="8" fillId="6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8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8" fontId="8" fillId="6" borderId="1" applyAlignment="1" pivotButton="0" quotePrefix="0" xfId="0">
      <alignment horizontal="center" vertical="center"/>
    </xf>
    <xf numFmtId="168" fontId="5" fillId="6" borderId="1" applyAlignment="1" pivotButton="0" quotePrefix="0" xfId="0">
      <alignment horizontal="center" vertical="center"/>
    </xf>
    <xf numFmtId="168" fontId="8" fillId="0" borderId="1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164" fontId="7" fillId="5" borderId="1" applyAlignment="1" pivotButton="0" quotePrefix="0" xfId="0">
      <alignment horizontal="right" vertical="center"/>
    </xf>
    <xf numFmtId="165" fontId="7" fillId="5" borderId="1" applyAlignment="1" pivotButton="0" quotePrefix="0" xfId="0">
      <alignment horizontal="right" vertical="center"/>
    </xf>
    <xf numFmtId="166" fontId="7" fillId="5" borderId="1" applyAlignment="1" pivotButton="0" quotePrefix="0" xfId="0">
      <alignment horizontal="right" vertical="center"/>
    </xf>
    <xf numFmtId="164" fontId="8" fillId="6" borderId="1" applyAlignment="1" pivotButton="0" quotePrefix="0" xfId="0">
      <alignment horizontal="right" vertical="center"/>
    </xf>
    <xf numFmtId="165" fontId="8" fillId="6" borderId="1" applyAlignment="1" pivotButton="0" quotePrefix="0" xfId="0">
      <alignment horizontal="right" vertical="center"/>
    </xf>
    <xf numFmtId="166" fontId="8" fillId="6" borderId="1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165" fontId="8" fillId="0" borderId="1" applyAlignment="1" pivotButton="0" quotePrefix="0" xfId="0">
      <alignment horizontal="right" vertical="center"/>
    </xf>
    <xf numFmtId="166" fontId="8" fillId="0" borderId="1" applyAlignment="1" pivotButton="0" quotePrefix="0" xfId="0">
      <alignment horizontal="right" vertical="center"/>
    </xf>
    <xf numFmtId="0" fontId="5" fillId="4" borderId="1" pivotButton="0" quotePrefix="0" xfId="0"/>
    <xf numFmtId="0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166" fontId="5" fillId="4" borderId="1" applyAlignment="1" pivotButton="0" quotePrefix="0" xfId="0">
      <alignment horizontal="right" vertical="center"/>
    </xf>
    <xf numFmtId="0" fontId="5" fillId="7" borderId="1" pivotButton="0" quotePrefix="0" xfId="0"/>
    <xf numFmtId="164" fontId="5" fillId="7" borderId="1" applyAlignment="1" pivotButton="0" quotePrefix="0" xfId="0">
      <alignment horizontal="right" vertical="center"/>
    </xf>
    <xf numFmtId="165" fontId="5" fillId="7" borderId="1" applyAlignment="1" pivotButton="0" quotePrefix="0" xfId="0">
      <alignment horizontal="right" vertical="center"/>
    </xf>
    <xf numFmtId="166" fontId="5" fillId="7" borderId="1" applyAlignment="1" pivotButton="0" quotePrefix="0" xfId="0">
      <alignment horizontal="right" vertical="center"/>
    </xf>
    <xf numFmtId="0" fontId="9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center" vertical="center"/>
    </xf>
    <xf numFmtId="164" fontId="9" fillId="8" borderId="1" applyAlignment="1" pivotButton="0" quotePrefix="0" xfId="0">
      <alignment horizontal="right" vertical="center"/>
    </xf>
    <xf numFmtId="165" fontId="9" fillId="8" borderId="1" applyAlignment="1" pivotButton="0" quotePrefix="0" xfId="0">
      <alignment horizontal="right" vertical="center"/>
    </xf>
    <xf numFmtId="166" fontId="9" fillId="8" borderId="1" applyAlignment="1" pivotButton="0" quotePrefix="0" xfId="0">
      <alignment horizontal="right" vertical="center"/>
    </xf>
    <xf numFmtId="0" fontId="10" fillId="2" borderId="2" pivotButton="0" quotePrefix="0" xfId="0"/>
    <xf numFmtId="164" fontId="10" fillId="2" borderId="2" applyAlignment="1" pivotButton="0" quotePrefix="0" xfId="0">
      <alignment horizontal="right" vertical="center"/>
    </xf>
    <xf numFmtId="165" fontId="10" fillId="2" borderId="2" applyAlignment="1" pivotButton="0" quotePrefix="0" xfId="0">
      <alignment horizontal="right" vertical="center"/>
    </xf>
    <xf numFmtId="166" fontId="10" fillId="2" borderId="2" applyAlignment="1" pivotButton="0" quotePrefix="0" xfId="0">
      <alignment horizontal="right" vertical="center"/>
    </xf>
    <xf numFmtId="0" fontId="11" fillId="7" borderId="3" pivotButton="0" quotePrefix="0" xfId="0"/>
    <xf numFmtId="164" fontId="11" fillId="7" borderId="3" applyAlignment="1" pivotButton="0" quotePrefix="0" xfId="0">
      <alignment horizontal="right" vertical="center"/>
    </xf>
    <xf numFmtId="165" fontId="11" fillId="7" borderId="3" applyAlignment="1" pivotButton="0" quotePrefix="0" xfId="0">
      <alignment horizontal="right" vertical="center"/>
    </xf>
    <xf numFmtId="166" fontId="11" fillId="7" borderId="3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/>
    </xf>
    <xf numFmtId="0" fontId="5" fillId="7" borderId="2" pivotButton="0" quotePrefix="0" xfId="0"/>
    <xf numFmtId="165" fontId="5" fillId="7" borderId="2" applyAlignment="1" pivotButton="0" quotePrefix="0" xfId="0">
      <alignment horizontal="right" vertical="center"/>
    </xf>
    <xf numFmtId="166" fontId="5" fillId="7" borderId="2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164" fontId="8" fillId="6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72" customWidth="1" min="2" max="2"/>
    <col width="72" customWidth="1" min="3" max="3"/>
    <col width="68" customWidth="1" min="4" max="4"/>
    <col width="124" customWidth="1" min="5" max="5"/>
    <col width="38" customWidth="1" min="6" max="6"/>
    <col width="25" customWidth="1" min="7" max="7"/>
    <col width="44" customWidth="1" min="8" max="8"/>
    <col width="27" customWidth="1" min="9" max="9"/>
    <col width="46" customWidth="1" min="10" max="10"/>
  </cols>
  <sheetData>
    <row r="1">
      <c r="A1" s="1" t="inlineStr">
        <is>
          <t>Emigrant Wilderness — Big Sam Loop Crew Meal Plan (19 People)</t>
        </is>
      </c>
    </row>
    <row r="2">
      <c r="A2" s="2" t="inlineStr">
        <is>
          <t>July 25–30, 2026  ·  Kennedy Meadows Loop  ·  ~46.9 mi  ·  13 Scouts · 6 Adults  |  3 Scout cans (3 people) · 1 Scout can (4 people) · 2 Adult cans (3 people)</t>
        </is>
      </c>
    </row>
    <row r="3"/>
    <row r="4">
      <c r="A4" s="3" t="inlineStr">
        <is>
          <t>BEAR CAN STRUCTURE</t>
        </is>
      </c>
    </row>
    <row r="5">
      <c r="A5" s="4" t="inlineStr">
        <is>
          <t>Can assignment</t>
        </is>
      </c>
      <c r="B5" s="4" t="inlineStr">
        <is>
          <t>Can 1</t>
        </is>
      </c>
      <c r="C5" s="4" t="inlineStr">
        <is>
          <t>Can 2</t>
        </is>
      </c>
      <c r="D5" s="4" t="inlineStr">
        <is>
          <t>Can 3</t>
        </is>
      </c>
      <c r="E5" s="4" t="inlineStr">
        <is>
          <t>Can 4</t>
        </is>
      </c>
      <c r="F5" s="4" t="inlineStr">
        <is>
          <t>Can 5</t>
        </is>
      </c>
      <c r="G5" s="4" t="inlineStr">
        <is>
          <t>Can 6</t>
        </is>
      </c>
      <c r="H5" s="4" t="inlineStr">
        <is>
          <t>Type</t>
        </is>
      </c>
      <c r="I5" s="4" t="inlineStr">
        <is>
          <t>People</t>
        </is>
      </c>
      <c r="J5" s="4" t="inlineStr">
        <is>
          <t>Notes</t>
        </is>
      </c>
    </row>
    <row r="6">
      <c r="A6" s="5" t="inlineStr">
        <is>
          <t>Can assignment</t>
        </is>
      </c>
      <c r="B6" s="6" t="inlineStr">
        <is>
          <t>Scout Can 1</t>
        </is>
      </c>
      <c r="C6" s="6" t="inlineStr">
        <is>
          <t>Scout Can 2</t>
        </is>
      </c>
      <c r="D6" s="6" t="inlineStr">
        <is>
          <t>Scout Can 3</t>
        </is>
      </c>
      <c r="E6" s="6" t="inlineStr">
        <is>
          <t>Scout Can 4</t>
        </is>
      </c>
      <c r="F6" s="6" t="inlineStr">
        <is>
          <t>Adult Can 1</t>
        </is>
      </c>
      <c r="G6" s="6" t="inlineStr">
        <is>
          <t>Adult Can 2</t>
        </is>
      </c>
      <c r="H6" s="6" t="inlineStr"/>
      <c r="I6" s="6" t="inlineStr"/>
      <c r="J6" s="7" t="inlineStr">
        <is>
          <t>4 scout cans + 2 adult cans</t>
        </is>
      </c>
    </row>
    <row r="7">
      <c r="A7" s="8" t="inlineStr">
        <is>
          <t>People per can</t>
        </is>
      </c>
      <c r="B7" s="9" t="inlineStr">
        <is>
          <t>3 scouts</t>
        </is>
      </c>
      <c r="C7" s="9" t="inlineStr">
        <is>
          <t>3 scouts</t>
        </is>
      </c>
      <c r="D7" s="9" t="inlineStr">
        <is>
          <t>3 scouts</t>
        </is>
      </c>
      <c r="E7" s="9" t="inlineStr">
        <is>
          <t>4 scouts</t>
        </is>
      </c>
      <c r="F7" s="9" t="inlineStr">
        <is>
          <t>3 adults</t>
        </is>
      </c>
      <c r="G7" s="9" t="inlineStr">
        <is>
          <t>3 adults</t>
        </is>
      </c>
      <c r="H7" s="9" t="inlineStr"/>
      <c r="I7" s="9" t="inlineStr"/>
      <c r="J7" s="10" t="inlineStr">
        <is>
          <t>Scouts: 3, 3, 3, 4 · Adults: 3, 3</t>
        </is>
      </c>
    </row>
    <row r="8">
      <c r="A8" s="5" t="inlineStr">
        <is>
          <t>Hot drink</t>
        </is>
      </c>
      <c r="B8" s="6" t="inlineStr">
        <is>
          <t>Swiss Miss</t>
        </is>
      </c>
      <c r="C8" s="6" t="inlineStr">
        <is>
          <t>Swiss Miss</t>
        </is>
      </c>
      <c r="D8" s="6" t="inlineStr">
        <is>
          <t>Swiss Miss</t>
        </is>
      </c>
      <c r="E8" s="6" t="inlineStr">
        <is>
          <t>Swiss Miss</t>
        </is>
      </c>
      <c r="F8" s="6" t="inlineStr">
        <is>
          <t>own coffee</t>
        </is>
      </c>
      <c r="G8" s="6" t="inlineStr">
        <is>
          <t>own coffee</t>
        </is>
      </c>
      <c r="H8" s="6" t="inlineStr"/>
      <c r="I8" s="6" t="inlineStr"/>
      <c r="J8" s="7" t="inlineStr">
        <is>
          <t>Scouts: Swiss Miss · Adults: own coffee/tea</t>
        </is>
      </c>
    </row>
    <row r="9">
      <c r="A9" s="8" t="inlineStr">
        <is>
          <t>Carry capacity</t>
        </is>
      </c>
      <c r="B9" s="9" t="inlineStr">
        <is>
          <t>3 Days</t>
        </is>
      </c>
      <c r="C9" s="9" t="inlineStr">
        <is>
          <t>3 Days</t>
        </is>
      </c>
      <c r="D9" s="9" t="inlineStr">
        <is>
          <t>3 Days</t>
        </is>
      </c>
      <c r="E9" s="9" t="inlineStr">
        <is>
          <t>3 Days</t>
        </is>
      </c>
      <c r="F9" s="9" t="inlineStr">
        <is>
          <t>3 Days</t>
        </is>
      </c>
      <c r="G9" s="9" t="inlineStr">
        <is>
          <t>3 Days</t>
        </is>
      </c>
      <c r="H9" s="9" t="inlineStr"/>
      <c r="I9" s="9" t="inlineStr"/>
      <c r="J9" s="10" t="inlineStr">
        <is>
          <t>Balance food is mule dropped (Days 4–6)</t>
        </is>
      </c>
    </row>
    <row r="10"/>
    <row r="11">
      <c r="A11" s="3" t="inlineStr">
        <is>
          <t>TRIP SCHEDULE</t>
        </is>
      </c>
    </row>
    <row r="12">
      <c r="A12" s="4" t="inlineStr">
        <is>
          <t>Day</t>
        </is>
      </c>
      <c r="B12" s="4" t="inlineStr">
        <is>
          <t>Date</t>
        </is>
      </c>
      <c r="C12" s="4" t="inlineStr">
        <is>
          <t>Route</t>
        </is>
      </c>
      <c r="D12" s="4" t="inlineStr">
        <is>
          <t>Miles</t>
        </is>
      </c>
      <c r="E12" s="4" t="inlineStr">
        <is>
          <t>Gain</t>
        </is>
      </c>
      <c r="F12" s="4" t="inlineStr">
        <is>
          <t>Loss</t>
        </is>
      </c>
      <c r="G12" s="4" t="inlineStr">
        <is>
          <t>Camp</t>
        </is>
      </c>
      <c r="H12" s="4" t="inlineStr">
        <is>
          <t>Meals</t>
        </is>
      </c>
      <c r="I12" s="4" t="inlineStr">
        <is>
          <t>Water</t>
        </is>
      </c>
      <c r="J12" s="4" t="inlineStr">
        <is>
          <t>Notes</t>
        </is>
      </c>
    </row>
    <row r="13">
      <c r="A13" s="11" t="inlineStr">
        <is>
          <t>Day 1</t>
        </is>
      </c>
      <c r="B13" s="9" t="inlineStr">
        <is>
          <t>Sat Jul 25</t>
        </is>
      </c>
      <c r="C13" s="10" t="inlineStr">
        <is>
          <t>Kennedy Meadows → Lower Relief Valley</t>
        </is>
      </c>
      <c r="D13" s="9" t="inlineStr">
        <is>
          <t>6.88 mi</t>
        </is>
      </c>
      <c r="E13" s="9" t="inlineStr">
        <is>
          <t>+2,262 ft</t>
        </is>
      </c>
      <c r="F13" s="9" t="inlineStr">
        <is>
          <t>−579 ft</t>
        </is>
      </c>
      <c r="G13" s="9" t="inlineStr">
        <is>
          <t>Lower Relief Valley</t>
        </is>
      </c>
      <c r="H13" s="9" t="inlineStr">
        <is>
          <t>Snacks · Lunch · Dinner · Dessert</t>
        </is>
      </c>
      <c r="I13" s="9" t="inlineStr">
        <is>
          <t>Reservoir/Creek (filter)</t>
        </is>
      </c>
      <c r="J13" s="10" t="inlineStr">
        <is>
          <t>morale swimming hole side-trip</t>
        </is>
      </c>
    </row>
    <row r="14">
      <c r="A14" s="12" t="inlineStr">
        <is>
          <t>Day 2</t>
        </is>
      </c>
      <c r="B14" s="6" t="inlineStr">
        <is>
          <t>Sun Jul 26</t>
        </is>
      </c>
      <c r="C14" s="7" t="inlineStr">
        <is>
          <t>Lower Relief Valley → Spring Meadow</t>
        </is>
      </c>
      <c r="D14" s="6" t="inlineStr">
        <is>
          <t>5.97 mi</t>
        </is>
      </c>
      <c r="E14" s="6" t="inlineStr">
        <is>
          <t>+1,129 ft</t>
        </is>
      </c>
      <c r="F14" s="6" t="inlineStr">
        <is>
          <t>−509 ft</t>
        </is>
      </c>
      <c r="G14" s="6" t="inlineStr">
        <is>
          <t>Spring Meadow</t>
        </is>
      </c>
      <c r="H14" s="6" t="inlineStr">
        <is>
          <t>Bkfst · Snacks · Lunch · Dinner · Dessert</t>
        </is>
      </c>
      <c r="I14" s="6" t="inlineStr">
        <is>
          <t>Spring/Creek (filter)</t>
        </is>
      </c>
      <c r="J14" s="7" t="inlineStr">
        <is>
          <t>Wire Lake side-trip</t>
        </is>
      </c>
    </row>
    <row r="15">
      <c r="A15" s="11" t="inlineStr">
        <is>
          <t>Day 3</t>
        </is>
      </c>
      <c r="B15" s="9" t="inlineStr">
        <is>
          <t>Mon Jul 27</t>
        </is>
      </c>
      <c r="C15" s="10" t="inlineStr">
        <is>
          <t>Spring Meadow → eastern Emigrant Lake</t>
        </is>
      </c>
      <c r="D15" s="9" t="inlineStr">
        <is>
          <t>8.89 mi</t>
        </is>
      </c>
      <c r="E15" s="9" t="inlineStr">
        <is>
          <t>+1,210 ft</t>
        </is>
      </c>
      <c r="F15" s="9" t="inlineStr">
        <is>
          <t>−1,035 ft</t>
        </is>
      </c>
      <c r="G15" s="9" t="inlineStr">
        <is>
          <t>Emigrant Lake (east)</t>
        </is>
      </c>
      <c r="H15" s="9" t="inlineStr">
        <is>
          <t>Bkfst · Snacks · Lunch · Dinner · Dessert</t>
        </is>
      </c>
      <c r="I15" s="9" t="inlineStr">
        <is>
          <t>Lake (filter)</t>
        </is>
      </c>
      <c r="J15" s="10" t="inlineStr">
        <is>
          <t>morale swimming spot; Buck Lake on route</t>
        </is>
      </c>
    </row>
    <row r="16">
      <c r="A16" s="12" t="inlineStr">
        <is>
          <t>Day 4</t>
        </is>
      </c>
      <c r="B16" s="6" t="inlineStr">
        <is>
          <t>Tue Jul 28</t>
        </is>
      </c>
      <c r="C16" s="7" t="inlineStr">
        <is>
          <t>Emigrant Lake → Grizzly Peak Base Camp</t>
        </is>
      </c>
      <c r="D16" s="6" t="inlineStr">
        <is>
          <t>6.59 mi</t>
        </is>
      </c>
      <c r="E16" s="6" t="inlineStr">
        <is>
          <t>+1,575 ft</t>
        </is>
      </c>
      <c r="F16" s="6" t="inlineStr">
        <is>
          <t>−742 ft</t>
        </is>
      </c>
      <c r="G16" s="6" t="inlineStr">
        <is>
          <t>Grizzly Peak Base Camp</t>
        </is>
      </c>
      <c r="H16" s="6" t="inlineStr">
        <is>
          <t>Bkfst · Snacks · Lunch · Dinner · Dessert</t>
        </is>
      </c>
      <c r="I16" s="6" t="inlineStr">
        <is>
          <t>Lake (filter)</t>
        </is>
      </c>
      <c r="J16" s="7" t="inlineStr">
        <is>
          <t>Mule drop refilled; cooler alpine camp</t>
        </is>
      </c>
    </row>
    <row r="17">
      <c r="A17" s="11" t="inlineStr">
        <is>
          <t>Day 5</t>
        </is>
      </c>
      <c r="B17" s="9" t="inlineStr">
        <is>
          <t>Wed Jul 29</t>
        </is>
      </c>
      <c r="C17" s="10" t="inlineStr">
        <is>
          <t>Grizzly Peak → Big Sam → Kennedy Lake</t>
        </is>
      </c>
      <c r="D17" s="9" t="inlineStr">
        <is>
          <t>8.46 mi</t>
        </is>
      </c>
      <c r="E17" s="9" t="inlineStr">
        <is>
          <t>+1,428 ft</t>
        </is>
      </c>
      <c r="F17" s="9" t="inlineStr">
        <is>
          <t>−3,238 ft</t>
        </is>
      </c>
      <c r="G17" s="9" t="inlineStr">
        <is>
          <t>South Kennedy Lake</t>
        </is>
      </c>
      <c r="H17" s="9" t="inlineStr">
        <is>
          <t>Bkfst · Snacks · Lunch · Dinner · Dessert</t>
        </is>
      </c>
      <c r="I17" s="9" t="inlineStr">
        <is>
          <t>Creek (filter)</t>
        </is>
      </c>
      <c r="J17" s="10" t="inlineStr">
        <is>
          <t>Climb Big Sam (10,804 ft); long descent</t>
        </is>
      </c>
    </row>
    <row r="18">
      <c r="A18" s="12" t="inlineStr">
        <is>
          <t>Day 6</t>
        </is>
      </c>
      <c r="B18" s="6" t="inlineStr">
        <is>
          <t>Thu Jul 30</t>
        </is>
      </c>
      <c r="C18" s="7" t="inlineStr">
        <is>
          <t>Kennedy Lake → Kennedy Meadows (Exit)</t>
        </is>
      </c>
      <c r="D18" s="6" t="inlineStr">
        <is>
          <t>8.50 mi</t>
        </is>
      </c>
      <c r="E18" s="6" t="inlineStr">
        <is>
          <t>+0 ft</t>
        </is>
      </c>
      <c r="F18" s="6" t="inlineStr">
        <is>
          <t>−1,517 ft</t>
        </is>
      </c>
      <c r="G18" s="6" t="inlineStr">
        <is>
          <t>Exit — Trailhead</t>
        </is>
      </c>
      <c r="H18" s="6" t="inlineStr">
        <is>
          <t>Bkfst · Snacks · Lunch</t>
        </is>
      </c>
      <c r="I18" s="6" t="inlineStr">
        <is>
          <t>Creek/Tap</t>
        </is>
      </c>
      <c r="J18" s="7" t="inlineStr">
        <is>
          <t>Walk out valley; celebrate at trailhead</t>
        </is>
      </c>
    </row>
    <row r="19">
      <c r="A19" s="13" t="inlineStr">
        <is>
          <t>TOTALS</t>
        </is>
      </c>
      <c r="B19" s="13" t="inlineStr"/>
      <c r="C19" s="14" t="inlineStr"/>
      <c r="D19" s="13" t="inlineStr">
        <is>
          <t>51.29 mi</t>
        </is>
      </c>
      <c r="E19" s="13" t="inlineStr">
        <is>
          <t>+7,604 ft</t>
        </is>
      </c>
      <c r="F19" s="13" t="inlineStr">
        <is>
          <t>−8,620 ft</t>
        </is>
      </c>
      <c r="G19" s="13" t="inlineStr"/>
      <c r="H19" s="13" t="inlineStr"/>
      <c r="I19" s="13" t="inlineStr"/>
      <c r="J19" s="14" t="inlineStr">
        <is>
          <t>Totals include optional side-trips</t>
        </is>
      </c>
    </row>
    <row r="20"/>
    <row r="21">
      <c r="A21" s="3" t="inlineStr">
        <is>
          <t>CALORIE OVERVIEW (per person)</t>
        </is>
      </c>
    </row>
    <row r="22">
      <c r="A22" s="15" t="inlineStr"/>
      <c r="B22" s="15" t="inlineStr">
        <is>
          <t>Scouts</t>
        </is>
      </c>
      <c r="C22" s="15" t="inlineStr">
        <is>
          <t>Adults</t>
        </is>
      </c>
      <c r="D22" s="15" t="inlineStr">
        <is>
          <t>Notes</t>
        </is>
      </c>
    </row>
    <row r="23">
      <c r="A23" s="8" t="inlineStr">
        <is>
          <t>Target (full active day)</t>
        </is>
      </c>
      <c r="B23" s="9" t="inlineStr">
        <is>
          <t>~2,750 kcal</t>
        </is>
      </c>
      <c r="C23" s="9" t="inlineStr">
        <is>
          <t>~3,750 kcal</t>
        </is>
      </c>
      <c r="D23" s="10" t="inlineStr">
        <is>
          <t>Target calorie values</t>
        </is>
      </c>
    </row>
    <row r="24">
      <c r="A24" s="5" t="inlineStr">
        <is>
          <t>Sat Jul 25 delivered</t>
        </is>
      </c>
      <c r="B24" s="16">
        <f>'Meal Plan (Per Bear Can)'!F31</f>
        <v/>
      </c>
      <c r="C24" s="16">
        <f>'Meal Plan (Per Bear Can)'!H31</f>
        <v/>
      </c>
      <c r="D24" s="7" t="inlineStr">
        <is>
          <t>Snacks + Lunch + Dinner + Dessert (no breakfast carried)</t>
        </is>
      </c>
    </row>
    <row r="25">
      <c r="A25" s="8" t="inlineStr">
        <is>
          <t>Sun Jul 26 delivered</t>
        </is>
      </c>
      <c r="B25" s="17">
        <f>'Meal Plan (Per Bear Can)'!F72</f>
        <v/>
      </c>
      <c r="C25" s="17">
        <f>'Meal Plan (Per Bear Can)'!H72</f>
        <v/>
      </c>
      <c r="D25" s="10" t="inlineStr">
        <is>
          <t>Bkfst + Snacks + Lunch + Dinner + Dessert + Adult Supp</t>
        </is>
      </c>
    </row>
    <row r="26">
      <c r="A26" s="5" t="inlineStr">
        <is>
          <t>Mon Jul 27 delivered</t>
        </is>
      </c>
      <c r="B26" s="16">
        <f>'Meal Plan (Per Bear Can)'!F108</f>
        <v/>
      </c>
      <c r="C26" s="16">
        <f>'Meal Plan (Per Bear Can)'!H108</f>
        <v/>
      </c>
      <c r="D26" s="7" t="inlineStr">
        <is>
          <t>Bkfst + Snacks + Lunch + Dinner + Dessert</t>
        </is>
      </c>
    </row>
    <row r="27">
      <c r="A27" s="8" t="inlineStr">
        <is>
          <t>Tue Jul 28 delivered</t>
        </is>
      </c>
      <c r="B27" s="17">
        <f>'Meal Plan (Per Bear Can)'!F144</f>
        <v/>
      </c>
      <c r="C27" s="17">
        <f>'Meal Plan (Per Bear Can)'!H144</f>
        <v/>
      </c>
      <c r="D27" s="10" t="inlineStr">
        <is>
          <t>Bkfst + Snacks + Lunch + Dinner + Dessert</t>
        </is>
      </c>
    </row>
    <row r="28">
      <c r="A28" s="5" t="inlineStr">
        <is>
          <t>Wed Jul 29 delivered</t>
        </is>
      </c>
      <c r="B28" s="16">
        <f>'Meal Plan (Per Bear Can)'!F186</f>
        <v/>
      </c>
      <c r="C28" s="16">
        <f>'Meal Plan (Per Bear Can)'!H186</f>
        <v/>
      </c>
      <c r="D28" s="7" t="inlineStr">
        <is>
          <t>Bkfst + Snacks + Lunch + Dinner + Dessert + Adult Supp</t>
        </is>
      </c>
    </row>
    <row r="29">
      <c r="A29" s="8" t="inlineStr">
        <is>
          <t>Thu Jul 30 delivered</t>
        </is>
      </c>
      <c r="B29" s="17">
        <f>'Meal Plan (Per Bear Can)'!F210</f>
        <v/>
      </c>
      <c r="C29" s="17">
        <f>'Meal Plan (Per Bear Can)'!H210</f>
        <v/>
      </c>
      <c r="D29" s="10" t="inlineStr">
        <is>
          <t>Bkfst + Snacks + Lunch (exit day; no dinner)</t>
        </is>
      </c>
    </row>
    <row r="30">
      <c r="A30" s="14" t="inlineStr">
        <is>
          <t>TRIP TOTAL (6 DAYS)</t>
        </is>
      </c>
      <c r="B30" s="18">
        <f>'Meal Plan (Per Bear Can)'!F215</f>
        <v/>
      </c>
      <c r="C30" s="18">
        <f>'Meal Plan (Per Bear Can)'!H215</f>
        <v/>
      </c>
      <c r="D30" s="14" t="inlineStr">
        <is>
          <t>Total food purchased per person across all 6 days</t>
        </is>
      </c>
    </row>
    <row r="31">
      <c r="A31" s="8" t="inlineStr">
        <is>
          <t>MAX CARRY WEIGHT VOL (3 DAYS)</t>
        </is>
      </c>
      <c r="B31" s="17">
        <f>MAX('Meal Plan (Per Bear Can)'!F110,'Meal Plan (Per Bear Can)'!F212)</f>
        <v/>
      </c>
      <c r="C31" s="17">
        <f>MAX('Meal Plan (Per Bear Can)'!H110,'Meal Plan (Per Bear Can)'!H212)</f>
        <v/>
      </c>
      <c r="D31" s="10" t="inlineStr">
        <is>
          <t>Maximum food carried at one time in canisters</t>
        </is>
      </c>
    </row>
    <row r="32"/>
    <row r="33">
      <c r="A33" s="3" t="inlineStr">
        <is>
          <t>BUDGET &amp; WEIGHT OVERVIEW (6 Days Purchased / 3 Days Carried)</t>
        </is>
      </c>
    </row>
    <row r="34">
      <c r="A34" s="15" t="inlineStr"/>
      <c r="B34" s="15" t="inlineStr">
        <is>
          <t>Adult Can (3 ppl) (×2)</t>
        </is>
      </c>
      <c r="C34" s="15" t="inlineStr">
        <is>
          <t>Scout Can (3 ppl) (×3)</t>
        </is>
      </c>
      <c r="D34" s="15" t="inlineStr">
        <is>
          <t>Scout Can (4 ppl) (×1)</t>
        </is>
      </c>
      <c r="E34" s="15" t="inlineStr">
        <is>
          <t>Group Total</t>
        </is>
      </c>
      <c r="F34" s="15" t="inlineStr">
        <is>
          <t>Notes</t>
        </is>
      </c>
    </row>
    <row r="35">
      <c r="A35" s="8" t="inlineStr">
        <is>
          <t>Estimated Purchased Cost (6 days)</t>
        </is>
      </c>
      <c r="B35" s="19">
        <f>SUM('Shopping List'!M$4:M$32)</f>
        <v/>
      </c>
      <c r="C35" s="19">
        <f>SUM('Shopping List'!K$4:K$32)</f>
        <v/>
      </c>
      <c r="D35" s="19">
        <f>SUM('Shopping List'!L$4:L$32)</f>
        <v/>
      </c>
      <c r="E35" s="20">
        <f>SUM('Shopping List'!N$4:N$32)</f>
        <v/>
      </c>
      <c r="F35" s="10" t="inlineStr">
        <is>
          <t>Full 6 days food cost; bulk prices</t>
        </is>
      </c>
    </row>
    <row r="36">
      <c r="A36" s="5" t="inlineStr">
        <is>
          <t>Per person cost</t>
        </is>
      </c>
      <c r="B36" s="21">
        <f>B35/3</f>
        <v/>
      </c>
      <c r="C36" s="21">
        <f>C35/3</f>
        <v/>
      </c>
      <c r="D36" s="21">
        <f>D35/4</f>
        <v/>
      </c>
      <c r="E36" s="22">
        <f>E35/19</f>
        <v/>
      </c>
      <c r="F36" s="7" t="inlineStr">
        <is>
          <t>Averaged across group</t>
        </is>
      </c>
    </row>
    <row r="37">
      <c r="A37" s="8" t="inlineStr">
        <is>
          <t>Max Carry Weight (3 days)</t>
        </is>
      </c>
      <c r="B37" s="23">
        <f>SUMPRODUCT('Shopping List'!E$4:E$32,'Shopping List'!O$4:O$32)/16</f>
        <v/>
      </c>
      <c r="C37" s="23">
        <f>SUMPRODUCT('Shopping List'!C$4:C$32,'Shopping List'!O$4:O$32)/16</f>
        <v/>
      </c>
      <c r="D37" s="23">
        <f>SUMPRODUCT('Shopping List'!D$4:D$32,'Shopping List'!O$4:O$32)/16</f>
        <v/>
      </c>
      <c r="E37" s="24">
        <f>SUMPRODUCT(3*'Shopping List'!C$4:C$32+1*'Shopping List'!D$4:D$32+2*'Shopping List'!E$4:E$32,'Shopping List'!O$4:O$32)/16</f>
        <v/>
      </c>
      <c r="F37" s="10" t="inlineStr">
        <is>
          <t>Max carried weight in lbs (Phase 1)</t>
        </is>
      </c>
    </row>
    <row r="38">
      <c r="A38" s="5" t="inlineStr">
        <is>
          <t>Mule Drop Weight (3 days)</t>
        </is>
      </c>
      <c r="B38" s="25">
        <f>SUMPRODUCT('Shopping List'!H$4:H$32,'Shopping List'!O$4:O$32)/16</f>
        <v/>
      </c>
      <c r="C38" s="25">
        <f>SUMPRODUCT('Shopping List'!F$4:F$32,'Shopping List'!O$4:O$32)/16</f>
        <v/>
      </c>
      <c r="D38" s="25">
        <f>SUMPRODUCT('Shopping List'!G$4:G$32,'Shopping List'!O$4:O$32)/16</f>
        <v/>
      </c>
      <c r="E38" s="26">
        <f>SUMPRODUCT(3*'Shopping List'!F$4:F$32+1*'Shopping List'!G$4:G$32+2*'Shopping List'!H$4:H$32,'Shopping List'!O$4:O$32)/16</f>
        <v/>
      </c>
      <c r="F38" s="7" t="inlineStr">
        <is>
          <t>Mule drop weight in lbs (Phase 2)</t>
        </is>
      </c>
    </row>
    <row r="39"/>
    <row r="40">
      <c r="A40" s="3" t="inlineStr">
        <is>
          <t>WATER &amp; SAFETY INFORMATION</t>
        </is>
      </c>
    </row>
    <row r="41">
      <c r="A41" s="4" t="inlineStr">
        <is>
          <t>Location</t>
        </is>
      </c>
      <c r="B41" s="4" t="inlineStr">
        <is>
          <t>Source</t>
        </is>
      </c>
      <c r="C41" s="4" t="inlineStr">
        <is>
          <t>Reliability</t>
        </is>
      </c>
      <c r="D41" s="4" t="inlineStr">
        <is>
          <t>Required Action</t>
        </is>
      </c>
    </row>
    <row r="42">
      <c r="A42" s="7" t="inlineStr">
        <is>
          <t>Kennedy Meadows Trailhead</t>
        </is>
      </c>
      <c r="B42" s="7" t="inlineStr">
        <is>
          <t>Pack Station tap</t>
        </is>
      </c>
      <c r="C42" s="7" t="inlineStr">
        <is>
          <t>Reliable</t>
        </is>
      </c>
      <c r="D42" s="7" t="inlineStr">
        <is>
          <t>Fill all bottles. Carry 2-3 L per person.</t>
        </is>
      </c>
    </row>
    <row r="43">
      <c r="A43" s="10" t="inlineStr">
        <is>
          <t>Relief Reservoir</t>
        </is>
      </c>
      <c r="B43" s="10" t="inlineStr">
        <is>
          <t>Reservoir outlet</t>
        </is>
      </c>
      <c r="C43" s="10" t="inlineStr">
        <is>
          <t>Reliable</t>
        </is>
      </c>
      <c r="D43" s="10" t="inlineStr">
        <is>
          <t>morale boost lunch stop. Filter all water.</t>
        </is>
      </c>
    </row>
    <row r="44">
      <c r="A44" s="7" t="inlineStr">
        <is>
          <t>Lower Relief Valley Camp</t>
        </is>
      </c>
      <c r="B44" s="7" t="inlineStr">
        <is>
          <t>Creek / Spring</t>
        </is>
      </c>
      <c r="C44" s="7" t="inlineStr">
        <is>
          <t>Reliable</t>
        </is>
      </c>
      <c r="D44" s="7" t="inlineStr">
        <is>
          <t>morale swimming spot side trip nearby.</t>
        </is>
      </c>
    </row>
    <row r="45">
      <c r="A45" s="10" t="inlineStr">
        <is>
          <t>Spring Meadow Camp</t>
        </is>
      </c>
      <c r="B45" s="10" t="inlineStr">
        <is>
          <t>Meadow stream</t>
        </is>
      </c>
      <c r="C45" s="10" t="inlineStr">
        <is>
          <t>Reliable</t>
        </is>
      </c>
      <c r="D45" s="10" t="inlineStr">
        <is>
          <t>morale boost meadow camp. Filter water.</t>
        </is>
      </c>
    </row>
    <row r="46">
      <c r="A46" s="7" t="inlineStr">
        <is>
          <t>Emigrant Lake Camp</t>
        </is>
      </c>
      <c r="B46" s="7" t="inlineStr">
        <is>
          <t>Lake water</t>
        </is>
      </c>
      <c r="C46" s="7" t="inlineStr">
        <is>
          <t>Reliable</t>
        </is>
      </c>
      <c r="D46" s="7" t="inlineStr">
        <is>
          <t>Marquee camp. Swim spot. Filter before drinking.</t>
        </is>
      </c>
    </row>
    <row r="47">
      <c r="A47" s="10" t="inlineStr">
        <is>
          <t>Grizzly Peak Base Camp</t>
        </is>
      </c>
      <c r="B47" s="10" t="inlineStr">
        <is>
          <t>Alpine lake</t>
        </is>
      </c>
      <c r="C47" s="10" t="inlineStr">
        <is>
          <t>Reliable</t>
        </is>
      </c>
      <c r="D47" s="10" t="inlineStr">
        <is>
          <t>High alpine water. Cooler nights. Filter.</t>
        </is>
      </c>
    </row>
    <row r="48">
      <c r="A48" s="7" t="inlineStr">
        <is>
          <t>Kennedy Lake Camp</t>
        </is>
      </c>
      <c r="B48" s="7" t="inlineStr">
        <is>
          <t>Kennedy Creek</t>
        </is>
      </c>
      <c r="C48" s="7" t="inlineStr">
        <is>
          <t>Reliable</t>
        </is>
      </c>
      <c r="D48" s="7" t="inlineStr">
        <is>
          <t>morale swimming spot. Filter.</t>
        </is>
      </c>
    </row>
    <row r="49">
      <c r="A49" s="10" t="inlineStr">
        <is>
          <t>Kennedy Meadows Exit</t>
        </is>
      </c>
      <c r="B49" s="10" t="inlineStr">
        <is>
          <t>Pack Station tap</t>
        </is>
      </c>
      <c r="C49" s="10" t="inlineStr">
        <is>
          <t>Reliable</t>
        </is>
      </c>
      <c r="D49" s="10" t="inlineStr">
        <is>
          <t>morale boost finish. Walk out valley.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5"/>
  <sheetViews>
    <sheetView showGridLines="1" workbookViewId="0">
      <selection activeCell="A1" sqref="A1"/>
    </sheetView>
  </sheetViews>
  <sheetFormatPr baseColWidth="8" defaultRowHeight="15"/>
  <cols>
    <col width="146" customWidth="1" min="1" max="1"/>
    <col width="12" customWidth="1" min="2" max="2"/>
    <col width="12" customWidth="1" min="3" max="3"/>
    <col width="12" customWidth="1" min="4" max="4"/>
    <col width="12" customWidth="1" min="5" max="5"/>
    <col width="38" customWidth="1" min="6" max="6"/>
    <col width="38" customWidth="1" min="7" max="7"/>
    <col width="38" customWidth="1" min="8" max="8"/>
    <col width="10" customWidth="1" min="9" max="9"/>
    <col width="38" customWidth="1" min="10" max="10"/>
    <col width="38" customWidth="1" min="11" max="11"/>
    <col width="38" customWidth="1" min="12" max="12"/>
    <col width="10" customWidth="1" min="13" max="13"/>
    <col width="38" customWidth="1" min="14" max="14"/>
    <col width="38" customWidth="1" min="15" max="15"/>
    <col width="38" customWidth="1" min="16" max="16"/>
    <col width="33" customWidth="1" min="17" max="17"/>
  </cols>
  <sheetData>
    <row r="1">
      <c r="A1" s="1" t="inlineStr">
        <is>
          <t>Meal Plan — Quantities &amp; Nutritional Breakdown Per Bear Can Type</t>
        </is>
      </c>
    </row>
    <row r="2">
      <c r="A2" s="2" t="inlineStr">
        <is>
          <t>Calculated for: Scout Can (3 people), Scout Can (4 people), and Adult Can (3 people)  |  ⚠ Highlighted = Contains Nuts (swap for allergy scout)</t>
        </is>
      </c>
    </row>
    <row r="3"/>
    <row r="4" ht="24" customHeight="1">
      <c r="A4" s="27" t="inlineStr">
        <is>
          <t>PHASE 1 — INITIAL CARRY (DAYS 1–3)</t>
        </is>
      </c>
    </row>
    <row r="5" ht="24" customHeight="1">
      <c r="A5" s="28" t="inlineStr">
        <is>
          <t>SAT JUL 25 — DAY 1 DETAILS</t>
        </is>
      </c>
    </row>
    <row r="6" ht="24" customHeight="1">
      <c r="A6" s="29" t="inlineStr">
        <is>
          <t xml:space="preserve">  Sat Jul 25 — BREAKFAST (✗ NOT CARRIED — eat before leaving trailhead)</t>
        </is>
      </c>
    </row>
    <row r="7" ht="24" customHeight="1">
      <c r="A7" s="30" t="inlineStr">
        <is>
          <t xml:space="preserve">  Sat Jul 25 — SNACKS</t>
        </is>
      </c>
    </row>
    <row r="8" ht="30" customHeight="1">
      <c r="A8" s="31" t="inlineStr">
        <is>
          <t>Food Item</t>
        </is>
      </c>
      <c r="B8" s="31" t="inlineStr">
        <is>
          <t>Qty
(Scout 3)</t>
        </is>
      </c>
      <c r="C8" s="31" t="inlineStr">
        <is>
          <t>Qty
(Scout 4)</t>
        </is>
      </c>
      <c r="D8" s="31" t="inlineStr">
        <is>
          <t>Qty
(Adult 3)</t>
        </is>
      </c>
      <c r="E8" s="31" t="inlineStr">
        <is>
          <t>kcal/unit</t>
        </is>
      </c>
      <c r="F8" s="31" t="inlineStr">
        <is>
          <t>Scout 3
kcal</t>
        </is>
      </c>
      <c r="G8" s="31" t="inlineStr">
        <is>
          <t>Scout 4
kcal</t>
        </is>
      </c>
      <c r="H8" s="31" t="inlineStr">
        <is>
          <t>Adult 3
kcal</t>
        </is>
      </c>
      <c r="I8" s="31" t="inlineStr">
        <is>
          <t>$/unit</t>
        </is>
      </c>
      <c r="J8" s="31" t="inlineStr">
        <is>
          <t>Scout 3
$</t>
        </is>
      </c>
      <c r="K8" s="31" t="inlineStr">
        <is>
          <t>Scout 4
$</t>
        </is>
      </c>
      <c r="L8" s="31" t="inlineStr">
        <is>
          <t>Adult 3
$</t>
        </is>
      </c>
      <c r="M8" s="31" t="inlineStr">
        <is>
          <t>oz/unit</t>
        </is>
      </c>
      <c r="N8" s="31" t="inlineStr">
        <is>
          <t>Scout 3
oz</t>
        </is>
      </c>
      <c r="O8" s="31" t="inlineStr">
        <is>
          <t>Scout 4
oz</t>
        </is>
      </c>
      <c r="P8" s="31" t="inlineStr">
        <is>
          <t>Adult 3
oz</t>
        </is>
      </c>
      <c r="Q8" s="31" t="inlineStr">
        <is>
          <t>Notes</t>
        </is>
      </c>
    </row>
    <row r="9">
      <c r="A9" s="32" t="inlineStr">
        <is>
          <t>Kind – Peanut Butter Dark Chocolate Bar</t>
        </is>
      </c>
      <c r="B9" s="33" t="n">
        <v>3</v>
      </c>
      <c r="C9" s="33" t="n">
        <v>4</v>
      </c>
      <c r="D9" s="33" t="n">
        <v>3</v>
      </c>
      <c r="E9" s="33" t="n">
        <v>200</v>
      </c>
      <c r="F9" s="34">
        <f>B9*E9</f>
        <v/>
      </c>
      <c r="G9" s="34">
        <f>C9*E9</f>
        <v/>
      </c>
      <c r="H9" s="34">
        <f>D9*E9</f>
        <v/>
      </c>
      <c r="I9" s="35" t="n">
        <v>1.04</v>
      </c>
      <c r="J9" s="35">
        <f>B9*I9</f>
        <v/>
      </c>
      <c r="K9" s="35">
        <f>C9*I9</f>
        <v/>
      </c>
      <c r="L9" s="35">
        <f>D9*I9</f>
        <v/>
      </c>
      <c r="M9" s="33" t="n">
        <v>1.4</v>
      </c>
      <c r="N9" s="36">
        <f>B9*M9</f>
        <v/>
      </c>
      <c r="O9" s="36">
        <f>C9*M9</f>
        <v/>
      </c>
      <c r="P9" s="36">
        <f>D9*M9</f>
        <v/>
      </c>
      <c r="Q9" s="32" t="inlineStr">
        <is>
          <t>⚠ NUT: swap → 88 Acres bar</t>
        </is>
      </c>
    </row>
    <row r="10">
      <c r="A10" s="32" t="inlineStr">
        <is>
          <t>Kind – Caramel Almond &amp; Peanut Bar</t>
        </is>
      </c>
      <c r="B10" s="33" t="n">
        <v>3</v>
      </c>
      <c r="C10" s="33" t="n">
        <v>4</v>
      </c>
      <c r="D10" s="33" t="n">
        <v>3</v>
      </c>
      <c r="E10" s="33" t="n">
        <v>180</v>
      </c>
      <c r="F10" s="34">
        <f>B10*E10</f>
        <v/>
      </c>
      <c r="G10" s="34">
        <f>C10*E10</f>
        <v/>
      </c>
      <c r="H10" s="34">
        <f>D10*E10</f>
        <v/>
      </c>
      <c r="I10" s="35" t="n">
        <v>1.59</v>
      </c>
      <c r="J10" s="35">
        <f>B10*I10</f>
        <v/>
      </c>
      <c r="K10" s="35">
        <f>C10*I10</f>
        <v/>
      </c>
      <c r="L10" s="35">
        <f>D10*I10</f>
        <v/>
      </c>
      <c r="M10" s="33" t="n">
        <v>1.4</v>
      </c>
      <c r="N10" s="36">
        <f>B10*M10</f>
        <v/>
      </c>
      <c r="O10" s="36">
        <f>C10*M10</f>
        <v/>
      </c>
      <c r="P10" s="36">
        <f>D10*M10</f>
        <v/>
      </c>
      <c r="Q10" s="32" t="inlineStr">
        <is>
          <t>⚠ NUT: swap → 88 Acres bar</t>
        </is>
      </c>
    </row>
    <row r="11">
      <c r="A11" s="10" t="inlineStr">
        <is>
          <t>Krave Sea Salt Original Beef Jerky</t>
        </is>
      </c>
      <c r="B11" s="9" t="n">
        <v>3</v>
      </c>
      <c r="C11" s="9" t="n">
        <v>4</v>
      </c>
      <c r="D11" s="9" t="n">
        <v>3</v>
      </c>
      <c r="E11" s="9" t="n">
        <v>140</v>
      </c>
      <c r="F11" s="37">
        <f>B11*E11</f>
        <v/>
      </c>
      <c r="G11" s="37">
        <f>C11*E11</f>
        <v/>
      </c>
      <c r="H11" s="37">
        <f>D11*E11</f>
        <v/>
      </c>
      <c r="I11" s="38" t="n">
        <v>2.19</v>
      </c>
      <c r="J11" s="38">
        <f>B11*I11</f>
        <v/>
      </c>
      <c r="K11" s="38">
        <f>C11*I11</f>
        <v/>
      </c>
      <c r="L11" s="38">
        <f>D11*I11</f>
        <v/>
      </c>
      <c r="M11" s="9" t="n">
        <v>1.48</v>
      </c>
      <c r="N11" s="39">
        <f>B11*M11</f>
        <v/>
      </c>
      <c r="O11" s="39">
        <f>C11*M11</f>
        <v/>
      </c>
      <c r="P11" s="39">
        <f>D11*M11</f>
        <v/>
      </c>
      <c r="Q11" s="10" t="inlineStr">
        <is>
          <t>Safe for nut allergy ✓</t>
        </is>
      </c>
    </row>
    <row r="12">
      <c r="A12" s="7" t="inlineStr">
        <is>
          <t>Gatorade Powder Pack</t>
        </is>
      </c>
      <c r="B12" s="6" t="n">
        <v>3</v>
      </c>
      <c r="C12" s="6" t="n">
        <v>4</v>
      </c>
      <c r="D12" s="6" t="n">
        <v>3</v>
      </c>
      <c r="E12" s="6" t="n">
        <v>130</v>
      </c>
      <c r="F12" s="40">
        <f>B12*E12</f>
        <v/>
      </c>
      <c r="G12" s="40">
        <f>C12*E12</f>
        <v/>
      </c>
      <c r="H12" s="40">
        <f>D12*E12</f>
        <v/>
      </c>
      <c r="I12" s="41" t="n">
        <v>0.38</v>
      </c>
      <c r="J12" s="41">
        <f>B12*I12</f>
        <v/>
      </c>
      <c r="K12" s="41">
        <f>C12*I12</f>
        <v/>
      </c>
      <c r="L12" s="41">
        <f>D12*I12</f>
        <v/>
      </c>
      <c r="M12" s="6" t="n">
        <v>1.23</v>
      </c>
      <c r="N12" s="42">
        <f>B12*M12</f>
        <v/>
      </c>
      <c r="O12" s="42">
        <f>C12*M12</f>
        <v/>
      </c>
      <c r="P12" s="42">
        <f>D12*M12</f>
        <v/>
      </c>
      <c r="Q12" s="7" t="inlineStr">
        <is>
          <t>Electrolytes</t>
        </is>
      </c>
    </row>
    <row r="13">
      <c r="A13" s="10" t="inlineStr">
        <is>
          <t>Trader Joe's Dried Mango Slices (1 oz)</t>
        </is>
      </c>
      <c r="B13" s="9" t="n">
        <v>3</v>
      </c>
      <c r="C13" s="9" t="n">
        <v>4</v>
      </c>
      <c r="D13" s="9" t="n">
        <v>3</v>
      </c>
      <c r="E13" s="9" t="n">
        <v>90</v>
      </c>
      <c r="F13" s="37">
        <f>B13*E13</f>
        <v/>
      </c>
      <c r="G13" s="37">
        <f>C13*E13</f>
        <v/>
      </c>
      <c r="H13" s="37">
        <f>D13*E13</f>
        <v/>
      </c>
      <c r="I13" s="38" t="n">
        <v>0.55</v>
      </c>
      <c r="J13" s="38">
        <f>B13*I13</f>
        <v/>
      </c>
      <c r="K13" s="38">
        <f>C13*I13</f>
        <v/>
      </c>
      <c r="L13" s="38">
        <f>D13*I13</f>
        <v/>
      </c>
      <c r="M13" s="9" t="n">
        <v>1</v>
      </c>
      <c r="N13" s="39">
        <f>B13*M13</f>
        <v/>
      </c>
      <c r="O13" s="39">
        <f>C13*M13</f>
        <v/>
      </c>
      <c r="P13" s="39">
        <f>D13*M13</f>
        <v/>
      </c>
      <c r="Q13" s="10" t="inlineStr">
        <is>
          <t>TJ's — Sat snack · nut-free ✓</t>
        </is>
      </c>
    </row>
    <row r="14">
      <c r="A14" s="43" t="inlineStr">
        <is>
          <t xml:space="preserve">  SNACKS Total</t>
        </is>
      </c>
      <c r="B14" s="44" t="n"/>
      <c r="C14" s="44" t="n"/>
      <c r="D14" s="44" t="n"/>
      <c r="E14" s="44" t="n"/>
      <c r="F14" s="45">
        <f>SUM(F9:F13)</f>
        <v/>
      </c>
      <c r="G14" s="45">
        <f>SUM(G9:G13)</f>
        <v/>
      </c>
      <c r="H14" s="45">
        <f>SUM(H9:H13)</f>
        <v/>
      </c>
      <c r="I14" s="43" t="n"/>
      <c r="J14" s="46">
        <f>SUM(J9:J13)</f>
        <v/>
      </c>
      <c r="K14" s="46">
        <f>SUM(K9:K13)</f>
        <v/>
      </c>
      <c r="L14" s="46">
        <f>SUM(L9:L13)</f>
        <v/>
      </c>
      <c r="M14" s="44" t="n"/>
      <c r="N14" s="47">
        <f>SUM(N9:N13)</f>
        <v/>
      </c>
      <c r="O14" s="47">
        <f>SUM(O9:O13)</f>
        <v/>
      </c>
      <c r="P14" s="47">
        <f>SUM(P9:P13)</f>
        <v/>
      </c>
      <c r="Q14" s="43" t="n"/>
    </row>
    <row r="15" ht="24" customHeight="1">
      <c r="A15" s="30" t="inlineStr">
        <is>
          <t xml:space="preserve">  Sat Jul 25 — LUNCH</t>
        </is>
      </c>
    </row>
    <row r="16" ht="30" customHeight="1">
      <c r="A16" s="31" t="inlineStr">
        <is>
          <t>Food Item</t>
        </is>
      </c>
      <c r="B16" s="31" t="inlineStr">
        <is>
          <t>Qty
(Scout 3)</t>
        </is>
      </c>
      <c r="C16" s="31" t="inlineStr">
        <is>
          <t>Qty
(Scout 4)</t>
        </is>
      </c>
      <c r="D16" s="31" t="inlineStr">
        <is>
          <t>Qty
(Adult 3)</t>
        </is>
      </c>
      <c r="E16" s="31" t="inlineStr">
        <is>
          <t>kcal/unit</t>
        </is>
      </c>
      <c r="F16" s="31" t="inlineStr">
        <is>
          <t>Scout 3
kcal</t>
        </is>
      </c>
      <c r="G16" s="31" t="inlineStr">
        <is>
          <t>Scout 4
kcal</t>
        </is>
      </c>
      <c r="H16" s="31" t="inlineStr">
        <is>
          <t>Adult 3
kcal</t>
        </is>
      </c>
      <c r="I16" s="31" t="inlineStr">
        <is>
          <t>$/unit</t>
        </is>
      </c>
      <c r="J16" s="31" t="inlineStr">
        <is>
          <t>Scout 3
$</t>
        </is>
      </c>
      <c r="K16" s="31" t="inlineStr">
        <is>
          <t>Scout 4
$</t>
        </is>
      </c>
      <c r="L16" s="31" t="inlineStr">
        <is>
          <t>Adult 3
$</t>
        </is>
      </c>
      <c r="M16" s="31" t="inlineStr">
        <is>
          <t>oz/unit</t>
        </is>
      </c>
      <c r="N16" s="31" t="inlineStr">
        <is>
          <t>Scout 3
oz</t>
        </is>
      </c>
      <c r="O16" s="31" t="inlineStr">
        <is>
          <t>Scout 4
oz</t>
        </is>
      </c>
      <c r="P16" s="31" t="inlineStr">
        <is>
          <t>Adult 3
oz</t>
        </is>
      </c>
      <c r="Q16" s="31" t="inlineStr">
        <is>
          <t>Notes</t>
        </is>
      </c>
    </row>
    <row r="17">
      <c r="A17" s="32" t="inlineStr">
        <is>
          <t>ProBar Meal – Oatmeal Chocolate Chip</t>
        </is>
      </c>
      <c r="B17" s="33" t="n">
        <v>3</v>
      </c>
      <c r="C17" s="33" t="n">
        <v>4</v>
      </c>
      <c r="D17" s="33" t="n">
        <v>3</v>
      </c>
      <c r="E17" s="33" t="n">
        <v>290</v>
      </c>
      <c r="F17" s="34">
        <f>B17*E17</f>
        <v/>
      </c>
      <c r="G17" s="34">
        <f>C17*E17</f>
        <v/>
      </c>
      <c r="H17" s="34">
        <f>D17*E17</f>
        <v/>
      </c>
      <c r="I17" s="35" t="n">
        <v>2.99</v>
      </c>
      <c r="J17" s="35">
        <f>B17*I17</f>
        <v/>
      </c>
      <c r="K17" s="35">
        <f>C17*I17</f>
        <v/>
      </c>
      <c r="L17" s="35">
        <f>D17*I17</f>
        <v/>
      </c>
      <c r="M17" s="33" t="n">
        <v>3</v>
      </c>
      <c r="N17" s="36">
        <f>B17*M17</f>
        <v/>
      </c>
      <c r="O17" s="36">
        <f>C17*M17</f>
        <v/>
      </c>
      <c r="P17" s="36">
        <f>D17*M17</f>
        <v/>
      </c>
      <c r="Q17" s="32" t="inlineStr">
        <is>
          <t>Lunch · ⚠ NUT (cashews)</t>
        </is>
      </c>
    </row>
    <row r="18">
      <c r="A18" s="43" t="inlineStr">
        <is>
          <t xml:space="preserve">  LUNCH Total</t>
        </is>
      </c>
      <c r="B18" s="44" t="n"/>
      <c r="C18" s="44" t="n"/>
      <c r="D18" s="44" t="n"/>
      <c r="E18" s="44" t="n"/>
      <c r="F18" s="45">
        <f>SUM(F17:F17)</f>
        <v/>
      </c>
      <c r="G18" s="45">
        <f>SUM(G17:G17)</f>
        <v/>
      </c>
      <c r="H18" s="45">
        <f>SUM(H17:H17)</f>
        <v/>
      </c>
      <c r="I18" s="43" t="n"/>
      <c r="J18" s="46">
        <f>SUM(J17:J17)</f>
        <v/>
      </c>
      <c r="K18" s="46">
        <f>SUM(K17:K17)</f>
        <v/>
      </c>
      <c r="L18" s="46">
        <f>SUM(L17:L17)</f>
        <v/>
      </c>
      <c r="M18" s="44" t="n"/>
      <c r="N18" s="47">
        <f>SUM(N17:N17)</f>
        <v/>
      </c>
      <c r="O18" s="47">
        <f>SUM(O17:O17)</f>
        <v/>
      </c>
      <c r="P18" s="47">
        <f>SUM(P17:P17)</f>
        <v/>
      </c>
      <c r="Q18" s="43" t="n"/>
    </row>
    <row r="19" ht="24" customHeight="1">
      <c r="A19" s="30" t="inlineStr">
        <is>
          <t xml:space="preserve">  Sat Jul 25 — DINNER</t>
        </is>
      </c>
    </row>
    <row r="20" ht="30" customHeight="1">
      <c r="A20" s="31" t="inlineStr">
        <is>
          <t>Food Item</t>
        </is>
      </c>
      <c r="B20" s="31" t="inlineStr">
        <is>
          <t>Qty
(Scout 3)</t>
        </is>
      </c>
      <c r="C20" s="31" t="inlineStr">
        <is>
          <t>Qty
(Scout 4)</t>
        </is>
      </c>
      <c r="D20" s="31" t="inlineStr">
        <is>
          <t>Qty
(Adult 3)</t>
        </is>
      </c>
      <c r="E20" s="31" t="inlineStr">
        <is>
          <t>kcal/unit</t>
        </is>
      </c>
      <c r="F20" s="31" t="inlineStr">
        <is>
          <t>Scout 3
kcal</t>
        </is>
      </c>
      <c r="G20" s="31" t="inlineStr">
        <is>
          <t>Scout 4
kcal</t>
        </is>
      </c>
      <c r="H20" s="31" t="inlineStr">
        <is>
          <t>Adult 3
kcal</t>
        </is>
      </c>
      <c r="I20" s="31" t="inlineStr">
        <is>
          <t>$/unit</t>
        </is>
      </c>
      <c r="J20" s="31" t="inlineStr">
        <is>
          <t>Scout 3
$</t>
        </is>
      </c>
      <c r="K20" s="31" t="inlineStr">
        <is>
          <t>Scout 4
$</t>
        </is>
      </c>
      <c r="L20" s="31" t="inlineStr">
        <is>
          <t>Adult 3
$</t>
        </is>
      </c>
      <c r="M20" s="31" t="inlineStr">
        <is>
          <t>oz/unit</t>
        </is>
      </c>
      <c r="N20" s="31" t="inlineStr">
        <is>
          <t>Scout 3
oz</t>
        </is>
      </c>
      <c r="O20" s="31" t="inlineStr">
        <is>
          <t>Scout 4
oz</t>
        </is>
      </c>
      <c r="P20" s="31" t="inlineStr">
        <is>
          <t>Adult 3
oz</t>
        </is>
      </c>
      <c r="Q20" s="31" t="inlineStr">
        <is>
          <t>Notes</t>
        </is>
      </c>
    </row>
    <row r="21">
      <c r="A21" s="10" t="inlineStr">
        <is>
          <t>Peak Refuel – Beef Pasta Marinara</t>
        </is>
      </c>
      <c r="B21" s="9" t="n">
        <v>2</v>
      </c>
      <c r="C21" s="9" t="n">
        <v>3</v>
      </c>
      <c r="D21" s="9" t="n">
        <v>3</v>
      </c>
      <c r="E21" s="9" t="n">
        <v>780</v>
      </c>
      <c r="F21" s="37">
        <f>B21*E21</f>
        <v/>
      </c>
      <c r="G21" s="37">
        <f>C21*E21</f>
        <v/>
      </c>
      <c r="H21" s="37">
        <f>D21*E21</f>
        <v/>
      </c>
      <c r="I21" s="38" t="n">
        <v>7.49</v>
      </c>
      <c r="J21" s="38">
        <f>B21*I21</f>
        <v/>
      </c>
      <c r="K21" s="38">
        <f>C21*I21</f>
        <v/>
      </c>
      <c r="L21" s="38">
        <f>D21*I21</f>
        <v/>
      </c>
      <c r="M21" s="9" t="n">
        <v>3.2</v>
      </c>
      <c r="N21" s="39">
        <f>B21*M21</f>
        <v/>
      </c>
      <c r="O21" s="39">
        <f>C21*M21</f>
        <v/>
      </c>
      <c r="P21" s="39">
        <f>D21*M21</f>
        <v/>
      </c>
      <c r="Q21" s="10" t="inlineStr">
        <is>
          <t>Sat dinner (1.5 svgs/pouch)</t>
        </is>
      </c>
    </row>
    <row r="22">
      <c r="A22" s="7" t="inlineStr">
        <is>
          <t>Mission Street Taco Flour Tortillas</t>
        </is>
      </c>
      <c r="B22" s="6" t="n">
        <v>6</v>
      </c>
      <c r="C22" s="6" t="n">
        <v>8</v>
      </c>
      <c r="D22" s="6" t="n">
        <v>6</v>
      </c>
      <c r="E22" s="6" t="n">
        <v>75</v>
      </c>
      <c r="F22" s="40">
        <f>B22*E22</f>
        <v/>
      </c>
      <c r="G22" s="40">
        <f>C22*E22</f>
        <v/>
      </c>
      <c r="H22" s="40">
        <f>D22*E22</f>
        <v/>
      </c>
      <c r="I22" s="41" t="n">
        <v>0.25</v>
      </c>
      <c r="J22" s="41">
        <f>B22*I22</f>
        <v/>
      </c>
      <c r="K22" s="41">
        <f>C22*I22</f>
        <v/>
      </c>
      <c r="L22" s="41">
        <f>D22*I22</f>
        <v/>
      </c>
      <c r="M22" s="6" t="n">
        <v>0.5</v>
      </c>
      <c r="N22" s="42">
        <f>B22*M22</f>
        <v/>
      </c>
      <c r="O22" s="42">
        <f>C22*M22</f>
        <v/>
      </c>
      <c r="P22" s="42">
        <f>D22*M22</f>
        <v/>
      </c>
      <c r="Q22" s="7" t="inlineStr">
        <is>
          <t>2/person; nut-free ✓</t>
        </is>
      </c>
    </row>
    <row r="23">
      <c r="A23" s="10" t="inlineStr">
        <is>
          <t>Tillamook Cheddar Cheese Packets</t>
        </is>
      </c>
      <c r="B23" s="9" t="n">
        <v>6</v>
      </c>
      <c r="C23" s="9" t="n">
        <v>8</v>
      </c>
      <c r="D23" s="9" t="n">
        <v>6</v>
      </c>
      <c r="E23" s="9" t="n">
        <v>90</v>
      </c>
      <c r="F23" s="37">
        <f>B23*E23</f>
        <v/>
      </c>
      <c r="G23" s="37">
        <f>C23*E23</f>
        <v/>
      </c>
      <c r="H23" s="37">
        <f>D23*E23</f>
        <v/>
      </c>
      <c r="I23" s="38" t="n">
        <v>0.75</v>
      </c>
      <c r="J23" s="38">
        <f>B23*I23</f>
        <v/>
      </c>
      <c r="K23" s="38">
        <f>C23*I23</f>
        <v/>
      </c>
      <c r="L23" s="38">
        <f>D23*I23</f>
        <v/>
      </c>
      <c r="M23" s="9" t="n">
        <v>0.7</v>
      </c>
      <c r="N23" s="39">
        <f>B23*M23</f>
        <v/>
      </c>
      <c r="O23" s="39">
        <f>C23*M23</f>
        <v/>
      </c>
      <c r="P23" s="39">
        <f>D23*M23</f>
        <v/>
      </c>
      <c r="Q23" s="10" t="inlineStr">
        <is>
          <t>2/person; nut-free ✓</t>
        </is>
      </c>
    </row>
    <row r="24">
      <c r="A24" s="7" t="inlineStr">
        <is>
          <t>Swiss Miss Hot Chocolate</t>
        </is>
      </c>
      <c r="B24" s="6" t="n">
        <v>6</v>
      </c>
      <c r="C24" s="6" t="n">
        <v>8</v>
      </c>
      <c r="D24" s="6" t="n">
        <v>0</v>
      </c>
      <c r="E24" s="6" t="n">
        <v>90</v>
      </c>
      <c r="F24" s="40">
        <f>B24*E24</f>
        <v/>
      </c>
      <c r="G24" s="40">
        <f>C24*E24</f>
        <v/>
      </c>
      <c r="H24" s="40">
        <f>D24*E24</f>
        <v/>
      </c>
      <c r="I24" s="41" t="n">
        <v>0.38</v>
      </c>
      <c r="J24" s="41">
        <f>B24*I24</f>
        <v/>
      </c>
      <c r="K24" s="41">
        <f>C24*I24</f>
        <v/>
      </c>
      <c r="L24" s="41">
        <f>D24*I24</f>
        <v/>
      </c>
      <c r="M24" s="6" t="n">
        <v>0.73</v>
      </c>
      <c r="N24" s="42">
        <f>B24*M24</f>
        <v/>
      </c>
      <c r="O24" s="42">
        <f>C24*M24</f>
        <v/>
      </c>
      <c r="P24" s="42">
        <f>D24*M24</f>
        <v/>
      </c>
      <c r="Q24" s="7" t="inlineStr">
        <is>
          <t>Scouts only (2 packets/person)</t>
        </is>
      </c>
    </row>
    <row r="25">
      <c r="A25" s="43" t="inlineStr">
        <is>
          <t xml:space="preserve">  DINNER Total</t>
        </is>
      </c>
      <c r="B25" s="44" t="n"/>
      <c r="C25" s="44" t="n"/>
      <c r="D25" s="44" t="n"/>
      <c r="E25" s="44" t="n"/>
      <c r="F25" s="45">
        <f>SUM(F21:F24)</f>
        <v/>
      </c>
      <c r="G25" s="45">
        <f>SUM(G21:G24)</f>
        <v/>
      </c>
      <c r="H25" s="45">
        <f>SUM(H21:H24)</f>
        <v/>
      </c>
      <c r="I25" s="43" t="n"/>
      <c r="J25" s="46">
        <f>SUM(J21:J24)</f>
        <v/>
      </c>
      <c r="K25" s="46">
        <f>SUM(K21:K24)</f>
        <v/>
      </c>
      <c r="L25" s="46">
        <f>SUM(L21:L24)</f>
        <v/>
      </c>
      <c r="M25" s="44" t="n"/>
      <c r="N25" s="47">
        <f>SUM(N21:N24)</f>
        <v/>
      </c>
      <c r="O25" s="47">
        <f>SUM(O21:O24)</f>
        <v/>
      </c>
      <c r="P25" s="47">
        <f>SUM(P21:P24)</f>
        <v/>
      </c>
      <c r="Q25" s="43" t="n"/>
    </row>
    <row r="26" ht="24" customHeight="1">
      <c r="A26" s="30" t="inlineStr">
        <is>
          <t xml:space="preserve">  Sat Jul 25 — DESSERT</t>
        </is>
      </c>
    </row>
    <row r="27" ht="30" customHeight="1">
      <c r="A27" s="31" t="inlineStr">
        <is>
          <t>Food Item</t>
        </is>
      </c>
      <c r="B27" s="31" t="inlineStr">
        <is>
          <t>Qty
(Scout 3)</t>
        </is>
      </c>
      <c r="C27" s="31" t="inlineStr">
        <is>
          <t>Qty
(Scout 4)</t>
        </is>
      </c>
      <c r="D27" s="31" t="inlineStr">
        <is>
          <t>Qty
(Adult 3)</t>
        </is>
      </c>
      <c r="E27" s="31" t="inlineStr">
        <is>
          <t>kcal/unit</t>
        </is>
      </c>
      <c r="F27" s="31" t="inlineStr">
        <is>
          <t>Scout 3
kcal</t>
        </is>
      </c>
      <c r="G27" s="31" t="inlineStr">
        <is>
          <t>Scout 4
kcal</t>
        </is>
      </c>
      <c r="H27" s="31" t="inlineStr">
        <is>
          <t>Adult 3
kcal</t>
        </is>
      </c>
      <c r="I27" s="31" t="inlineStr">
        <is>
          <t>$/unit</t>
        </is>
      </c>
      <c r="J27" s="31" t="inlineStr">
        <is>
          <t>Scout 3
$</t>
        </is>
      </c>
      <c r="K27" s="31" t="inlineStr">
        <is>
          <t>Scout 4
$</t>
        </is>
      </c>
      <c r="L27" s="31" t="inlineStr">
        <is>
          <t>Adult 3
$</t>
        </is>
      </c>
      <c r="M27" s="31" t="inlineStr">
        <is>
          <t>oz/unit</t>
        </is>
      </c>
      <c r="N27" s="31" t="inlineStr">
        <is>
          <t>Scout 3
oz</t>
        </is>
      </c>
      <c r="O27" s="31" t="inlineStr">
        <is>
          <t>Scout 4
oz</t>
        </is>
      </c>
      <c r="P27" s="31" t="inlineStr">
        <is>
          <t>Adult 3
oz</t>
        </is>
      </c>
      <c r="Q27" s="31" t="inlineStr">
        <is>
          <t>Notes</t>
        </is>
      </c>
    </row>
    <row r="28">
      <c r="A28" s="7" t="inlineStr">
        <is>
          <t>Backpacker's Pantry – Crème Brûlée</t>
        </is>
      </c>
      <c r="B28" s="6" t="n">
        <v>2</v>
      </c>
      <c r="C28" s="6" t="n">
        <v>2</v>
      </c>
      <c r="D28" s="6" t="n">
        <v>2</v>
      </c>
      <c r="E28" s="6" t="n">
        <v>620</v>
      </c>
      <c r="F28" s="40">
        <f>B28*E28</f>
        <v/>
      </c>
      <c r="G28" s="40">
        <f>C28*E28</f>
        <v/>
      </c>
      <c r="H28" s="40">
        <f>D28*E28</f>
        <v/>
      </c>
      <c r="I28" s="41" t="n">
        <v>8.99</v>
      </c>
      <c r="J28" s="41">
        <f>B28*I28</f>
        <v/>
      </c>
      <c r="K28" s="41">
        <f>C28*I28</f>
        <v/>
      </c>
      <c r="L28" s="41">
        <f>D28*I28</f>
        <v/>
      </c>
      <c r="M28" s="6" t="n">
        <v>2.26</v>
      </c>
      <c r="N28" s="42">
        <f>B28*M28</f>
        <v/>
      </c>
      <c r="O28" s="42">
        <f>C28*M28</f>
        <v/>
      </c>
      <c r="P28" s="42">
        <f>D28*M28</f>
        <v/>
      </c>
      <c r="Q28" s="7" t="inlineStr">
        <is>
          <t>Buddy-pair shares pouch</t>
        </is>
      </c>
    </row>
    <row r="29">
      <c r="A29" s="10" t="inlineStr">
        <is>
          <t>Swiss Miss Hot Chocolate</t>
        </is>
      </c>
      <c r="B29" s="9" t="n">
        <v>6</v>
      </c>
      <c r="C29" s="9" t="n">
        <v>8</v>
      </c>
      <c r="D29" s="9" t="n">
        <v>0</v>
      </c>
      <c r="E29" s="9" t="n">
        <v>90</v>
      </c>
      <c r="F29" s="37">
        <f>B29*E29</f>
        <v/>
      </c>
      <c r="G29" s="37">
        <f>C29*E29</f>
        <v/>
      </c>
      <c r="H29" s="37">
        <f>D29*E29</f>
        <v/>
      </c>
      <c r="I29" s="38" t="n">
        <v>0.38</v>
      </c>
      <c r="J29" s="38">
        <f>B29*I29</f>
        <v/>
      </c>
      <c r="K29" s="38">
        <f>C29*I29</f>
        <v/>
      </c>
      <c r="L29" s="38">
        <f>D29*I29</f>
        <v/>
      </c>
      <c r="M29" s="9" t="n">
        <v>0.73</v>
      </c>
      <c r="N29" s="39">
        <f>B29*M29</f>
        <v/>
      </c>
      <c r="O29" s="39">
        <f>C29*M29</f>
        <v/>
      </c>
      <c r="P29" s="39">
        <f>D29*M29</f>
        <v/>
      </c>
      <c r="Q29" s="10" t="inlineStr">
        <is>
          <t>Scouts only (2 packets/person)</t>
        </is>
      </c>
    </row>
    <row r="30">
      <c r="A30" s="43" t="inlineStr">
        <is>
          <t xml:space="preserve">  DESSERT Total</t>
        </is>
      </c>
      <c r="B30" s="44" t="n"/>
      <c r="C30" s="44" t="n"/>
      <c r="D30" s="44" t="n"/>
      <c r="E30" s="44" t="n"/>
      <c r="F30" s="45">
        <f>SUM(F28:F29)</f>
        <v/>
      </c>
      <c r="G30" s="45">
        <f>SUM(G28:G29)</f>
        <v/>
      </c>
      <c r="H30" s="45">
        <f>SUM(H28:H29)</f>
        <v/>
      </c>
      <c r="I30" s="43" t="n"/>
      <c r="J30" s="46">
        <f>SUM(J28:J29)</f>
        <v/>
      </c>
      <c r="K30" s="46">
        <f>SUM(K28:K29)</f>
        <v/>
      </c>
      <c r="L30" s="46">
        <f>SUM(L28:L29)</f>
        <v/>
      </c>
      <c r="M30" s="44" t="n"/>
      <c r="N30" s="47">
        <f>SUM(N28:N29)</f>
        <v/>
      </c>
      <c r="O30" s="47">
        <f>SUM(O28:O29)</f>
        <v/>
      </c>
      <c r="P30" s="47">
        <f>SUM(P28:P29)</f>
        <v/>
      </c>
      <c r="Q30" s="43" t="n"/>
    </row>
    <row r="31">
      <c r="A31" s="48" t="inlineStr">
        <is>
          <t>DAY 1 (Sat Jul 25) TOTAL</t>
        </is>
      </c>
      <c r="B31" s="48" t="n"/>
      <c r="C31" s="48" t="n"/>
      <c r="D31" s="48" t="n"/>
      <c r="E31" s="48" t="n"/>
      <c r="F31" s="49">
        <f>SUM(F14,F18,F25,F30)</f>
        <v/>
      </c>
      <c r="G31" s="49">
        <f>SUM(G14,G18,G25,G30)</f>
        <v/>
      </c>
      <c r="H31" s="49">
        <f>SUM(H14,H18,H25,H30)</f>
        <v/>
      </c>
      <c r="I31" s="48" t="n"/>
      <c r="J31" s="50">
        <f>SUM(J14,J18,J25,J30)</f>
        <v/>
      </c>
      <c r="K31" s="50">
        <f>SUM(K14,K18,K25,K30)</f>
        <v/>
      </c>
      <c r="L31" s="50">
        <f>SUM(L14,L18,L25,L30)</f>
        <v/>
      </c>
      <c r="M31" s="48" t="n"/>
      <c r="N31" s="51">
        <f>SUM(N14,N18,N25,N30)</f>
        <v/>
      </c>
      <c r="O31" s="51">
        <f>SUM(O14,O18,O25,O30)</f>
        <v/>
      </c>
      <c r="P31" s="51">
        <f>SUM(P14,P18,P25,P30)</f>
        <v/>
      </c>
      <c r="Q31" s="48" t="n"/>
    </row>
    <row r="32"/>
    <row r="33" ht="24" customHeight="1">
      <c r="A33" s="28" t="inlineStr">
        <is>
          <t>SUN JUL 26 — DAY 2 DETAILS</t>
        </is>
      </c>
    </row>
    <row r="34" ht="24" customHeight="1">
      <c r="A34" s="30" t="inlineStr">
        <is>
          <t xml:space="preserve">  Sun Jul 26 — BREAKFAST</t>
        </is>
      </c>
    </row>
    <row r="35" ht="30" customHeight="1">
      <c r="A35" s="31" t="inlineStr">
        <is>
          <t>Food Item</t>
        </is>
      </c>
      <c r="B35" s="31" t="inlineStr">
        <is>
          <t>Qty
(Scout 3)</t>
        </is>
      </c>
      <c r="C35" s="31" t="inlineStr">
        <is>
          <t>Qty
(Scout 4)</t>
        </is>
      </c>
      <c r="D35" s="31" t="inlineStr">
        <is>
          <t>Qty
(Adult 3)</t>
        </is>
      </c>
      <c r="E35" s="31" t="inlineStr">
        <is>
          <t>kcal/unit</t>
        </is>
      </c>
      <c r="F35" s="31" t="inlineStr">
        <is>
          <t>Scout 3
kcal</t>
        </is>
      </c>
      <c r="G35" s="31" t="inlineStr">
        <is>
          <t>Scout 4
kcal</t>
        </is>
      </c>
      <c r="H35" s="31" t="inlineStr">
        <is>
          <t>Adult 3
kcal</t>
        </is>
      </c>
      <c r="I35" s="31" t="inlineStr">
        <is>
          <t>$/unit</t>
        </is>
      </c>
      <c r="J35" s="31" t="inlineStr">
        <is>
          <t>Scout 3
$</t>
        </is>
      </c>
      <c r="K35" s="31" t="inlineStr">
        <is>
          <t>Scout 4
$</t>
        </is>
      </c>
      <c r="L35" s="31" t="inlineStr">
        <is>
          <t>Adult 3
$</t>
        </is>
      </c>
      <c r="M35" s="31" t="inlineStr">
        <is>
          <t>oz/unit</t>
        </is>
      </c>
      <c r="N35" s="31" t="inlineStr">
        <is>
          <t>Scout 3
oz</t>
        </is>
      </c>
      <c r="O35" s="31" t="inlineStr">
        <is>
          <t>Scout 4
oz</t>
        </is>
      </c>
      <c r="P35" s="31" t="inlineStr">
        <is>
          <t>Adult 3
oz</t>
        </is>
      </c>
      <c r="Q35" s="31" t="inlineStr">
        <is>
          <t>Notes</t>
        </is>
      </c>
    </row>
    <row r="36">
      <c r="A36" s="32" t="inlineStr">
        <is>
          <t>MET-Rx Big100 – Super Cookie Crunch</t>
        </is>
      </c>
      <c r="B36" s="33" t="n">
        <v>3</v>
      </c>
      <c r="C36" s="33" t="n">
        <v>4</v>
      </c>
      <c r="D36" s="33" t="n">
        <v>3</v>
      </c>
      <c r="E36" s="33" t="n">
        <v>410</v>
      </c>
      <c r="F36" s="34">
        <f>B36*E36</f>
        <v/>
      </c>
      <c r="G36" s="34">
        <f>C36*E36</f>
        <v/>
      </c>
      <c r="H36" s="34">
        <f>D36*E36</f>
        <v/>
      </c>
      <c r="I36" s="35" t="n">
        <v>2.19</v>
      </c>
      <c r="J36" s="35">
        <f>B36*I36</f>
        <v/>
      </c>
      <c r="K36" s="35">
        <f>C36*I36</f>
        <v/>
      </c>
      <c r="L36" s="35">
        <f>D36*I36</f>
        <v/>
      </c>
      <c r="M36" s="33" t="n">
        <v>3.53</v>
      </c>
      <c r="N36" s="36">
        <f>B36*M36</f>
        <v/>
      </c>
      <c r="O36" s="36">
        <f>C36*M36</f>
        <v/>
      </c>
      <c r="P36" s="36">
        <f>D36*M36</f>
        <v/>
      </c>
      <c r="Q36" s="32" t="inlineStr">
        <is>
          <t>Bkfst · ⚠ NUT</t>
        </is>
      </c>
    </row>
    <row r="37">
      <c r="A37" s="10" t="inlineStr">
        <is>
          <t>Swiss Miss Hot Chocolate</t>
        </is>
      </c>
      <c r="B37" s="9" t="n">
        <v>6</v>
      </c>
      <c r="C37" s="9" t="n">
        <v>8</v>
      </c>
      <c r="D37" s="9" t="n">
        <v>0</v>
      </c>
      <c r="E37" s="9" t="n">
        <v>90</v>
      </c>
      <c r="F37" s="37">
        <f>B37*E37</f>
        <v/>
      </c>
      <c r="G37" s="37">
        <f>C37*E37</f>
        <v/>
      </c>
      <c r="H37" s="37">
        <f>D37*E37</f>
        <v/>
      </c>
      <c r="I37" s="38" t="n">
        <v>0.38</v>
      </c>
      <c r="J37" s="38">
        <f>B37*I37</f>
        <v/>
      </c>
      <c r="K37" s="38">
        <f>C37*I37</f>
        <v/>
      </c>
      <c r="L37" s="38">
        <f>D37*I37</f>
        <v/>
      </c>
      <c r="M37" s="9" t="n">
        <v>0.73</v>
      </c>
      <c r="N37" s="39">
        <f>B37*M37</f>
        <v/>
      </c>
      <c r="O37" s="39">
        <f>C37*M37</f>
        <v/>
      </c>
      <c r="P37" s="39">
        <f>D37*M37</f>
        <v/>
      </c>
      <c r="Q37" s="10" t="inlineStr">
        <is>
          <t>Scouts only (2 packets/person)</t>
        </is>
      </c>
    </row>
    <row r="38">
      <c r="A38" s="52" t="inlineStr">
        <is>
          <t>Adults: own coffee / tea</t>
        </is>
      </c>
      <c r="B38" s="53" t="n">
        <v>0</v>
      </c>
      <c r="C38" s="53" t="n">
        <v>0</v>
      </c>
      <c r="D38" s="53" t="n">
        <v>3</v>
      </c>
      <c r="E38" s="53" t="n">
        <v>0</v>
      </c>
      <c r="F38" s="54">
        <f>B38*E38</f>
        <v/>
      </c>
      <c r="G38" s="54">
        <f>C38*E38</f>
        <v/>
      </c>
      <c r="H38" s="54">
        <f>D38*E38</f>
        <v/>
      </c>
      <c r="I38" s="55" t="n">
        <v>0</v>
      </c>
      <c r="J38" s="55">
        <f>B38*I38</f>
        <v/>
      </c>
      <c r="K38" s="55">
        <f>C38*I38</f>
        <v/>
      </c>
      <c r="L38" s="55">
        <f>D38*I38</f>
        <v/>
      </c>
      <c r="M38" s="53" t="n">
        <v>0</v>
      </c>
      <c r="N38" s="56">
        <f>B38*M38</f>
        <v/>
      </c>
      <c r="O38" s="56">
        <f>C38*M38</f>
        <v/>
      </c>
      <c r="P38" s="56">
        <f>D38*M38</f>
        <v/>
      </c>
      <c r="Q38" s="52" t="inlineStr">
        <is>
          <t>Adults only ★</t>
        </is>
      </c>
    </row>
    <row r="39">
      <c r="A39" s="43" t="inlineStr">
        <is>
          <t xml:space="preserve">  BREAKFAST Total</t>
        </is>
      </c>
      <c r="B39" s="44" t="n"/>
      <c r="C39" s="44" t="n"/>
      <c r="D39" s="44" t="n"/>
      <c r="E39" s="44" t="n"/>
      <c r="F39" s="45">
        <f>SUM(F36:F38)</f>
        <v/>
      </c>
      <c r="G39" s="45">
        <f>SUM(G36:G38)</f>
        <v/>
      </c>
      <c r="H39" s="45">
        <f>SUM(H36:H38)</f>
        <v/>
      </c>
      <c r="I39" s="43" t="n"/>
      <c r="J39" s="46">
        <f>SUM(J36:J38)</f>
        <v/>
      </c>
      <c r="K39" s="46">
        <f>SUM(K36:K38)</f>
        <v/>
      </c>
      <c r="L39" s="46">
        <f>SUM(L36:L38)</f>
        <v/>
      </c>
      <c r="M39" s="44" t="n"/>
      <c r="N39" s="47">
        <f>SUM(N36:N38)</f>
        <v/>
      </c>
      <c r="O39" s="47">
        <f>SUM(O36:O38)</f>
        <v/>
      </c>
      <c r="P39" s="47">
        <f>SUM(P36:P38)</f>
        <v/>
      </c>
      <c r="Q39" s="43" t="n"/>
    </row>
    <row r="40" ht="24" customHeight="1">
      <c r="A40" s="30" t="inlineStr">
        <is>
          <t xml:space="preserve">  Sun Jul 26 — SNACKS</t>
        </is>
      </c>
    </row>
    <row r="41" ht="30" customHeight="1">
      <c r="A41" s="31" t="inlineStr">
        <is>
          <t>Food Item</t>
        </is>
      </c>
      <c r="B41" s="31" t="inlineStr">
        <is>
          <t>Qty
(Scout 3)</t>
        </is>
      </c>
      <c r="C41" s="31" t="inlineStr">
        <is>
          <t>Qty
(Scout 4)</t>
        </is>
      </c>
      <c r="D41" s="31" t="inlineStr">
        <is>
          <t>Qty
(Adult 3)</t>
        </is>
      </c>
      <c r="E41" s="31" t="inlineStr">
        <is>
          <t>kcal/unit</t>
        </is>
      </c>
      <c r="F41" s="31" t="inlineStr">
        <is>
          <t>Scout 3
kcal</t>
        </is>
      </c>
      <c r="G41" s="31" t="inlineStr">
        <is>
          <t>Scout 4
kcal</t>
        </is>
      </c>
      <c r="H41" s="31" t="inlineStr">
        <is>
          <t>Adult 3
kcal</t>
        </is>
      </c>
      <c r="I41" s="31" t="inlineStr">
        <is>
          <t>$/unit</t>
        </is>
      </c>
      <c r="J41" s="31" t="inlineStr">
        <is>
          <t>Scout 3
$</t>
        </is>
      </c>
      <c r="K41" s="31" t="inlineStr">
        <is>
          <t>Scout 4
$</t>
        </is>
      </c>
      <c r="L41" s="31" t="inlineStr">
        <is>
          <t>Adult 3
$</t>
        </is>
      </c>
      <c r="M41" s="31" t="inlineStr">
        <is>
          <t>oz/unit</t>
        </is>
      </c>
      <c r="N41" s="31" t="inlineStr">
        <is>
          <t>Scout 3
oz</t>
        </is>
      </c>
      <c r="O41" s="31" t="inlineStr">
        <is>
          <t>Scout 4
oz</t>
        </is>
      </c>
      <c r="P41" s="31" t="inlineStr">
        <is>
          <t>Adult 3
oz</t>
        </is>
      </c>
      <c r="Q41" s="31" t="inlineStr">
        <is>
          <t>Notes</t>
        </is>
      </c>
    </row>
    <row r="42">
      <c r="A42" s="7" t="inlineStr">
        <is>
          <t>Krave Sea Salt Original Beef Jerky</t>
        </is>
      </c>
      <c r="B42" s="6" t="n">
        <v>3</v>
      </c>
      <c r="C42" s="6" t="n">
        <v>4</v>
      </c>
      <c r="D42" s="6" t="n">
        <v>3</v>
      </c>
      <c r="E42" s="6" t="n">
        <v>140</v>
      </c>
      <c r="F42" s="40">
        <f>B42*E42</f>
        <v/>
      </c>
      <c r="G42" s="40">
        <f>C42*E42</f>
        <v/>
      </c>
      <c r="H42" s="40">
        <f>D42*E42</f>
        <v/>
      </c>
      <c r="I42" s="41" t="n">
        <v>2.19</v>
      </c>
      <c r="J42" s="41">
        <f>B42*I42</f>
        <v/>
      </c>
      <c r="K42" s="41">
        <f>C42*I42</f>
        <v/>
      </c>
      <c r="L42" s="41">
        <f>D42*I42</f>
        <v/>
      </c>
      <c r="M42" s="6" t="n">
        <v>1.48</v>
      </c>
      <c r="N42" s="42">
        <f>B42*M42</f>
        <v/>
      </c>
      <c r="O42" s="42">
        <f>C42*M42</f>
        <v/>
      </c>
      <c r="P42" s="42">
        <f>D42*M42</f>
        <v/>
      </c>
      <c r="Q42" s="7" t="inlineStr">
        <is>
          <t>Safe for nut allergy ✓</t>
        </is>
      </c>
    </row>
    <row r="43">
      <c r="A43" s="32" t="inlineStr">
        <is>
          <t>Kind – Dark Choc Nuts &amp; Sea Salt Bar</t>
        </is>
      </c>
      <c r="B43" s="33" t="n">
        <v>3</v>
      </c>
      <c r="C43" s="33" t="n">
        <v>4</v>
      </c>
      <c r="D43" s="33" t="n">
        <v>3</v>
      </c>
      <c r="E43" s="33" t="n">
        <v>200</v>
      </c>
      <c r="F43" s="34">
        <f>B43*E43</f>
        <v/>
      </c>
      <c r="G43" s="34">
        <f>C43*E43</f>
        <v/>
      </c>
      <c r="H43" s="34">
        <f>D43*E43</f>
        <v/>
      </c>
      <c r="I43" s="35" t="n">
        <v>1.04</v>
      </c>
      <c r="J43" s="35">
        <f>B43*I43</f>
        <v/>
      </c>
      <c r="K43" s="35">
        <f>C43*I43</f>
        <v/>
      </c>
      <c r="L43" s="35">
        <f>D43*I43</f>
        <v/>
      </c>
      <c r="M43" s="33" t="n">
        <v>1.4</v>
      </c>
      <c r="N43" s="36">
        <f>B43*M43</f>
        <v/>
      </c>
      <c r="O43" s="36">
        <f>C43*M43</f>
        <v/>
      </c>
      <c r="P43" s="36">
        <f>D43*M43</f>
        <v/>
      </c>
      <c r="Q43" s="32" t="inlineStr">
        <is>
          <t>⚠ NUT: swap → 88 Acres bar</t>
        </is>
      </c>
    </row>
    <row r="44">
      <c r="A44" s="7" t="inlineStr">
        <is>
          <t>Gatorade Powder Pack</t>
        </is>
      </c>
      <c r="B44" s="6" t="n">
        <v>6</v>
      </c>
      <c r="C44" s="6" t="n">
        <v>8</v>
      </c>
      <c r="D44" s="6" t="n">
        <v>6</v>
      </c>
      <c r="E44" s="6" t="n">
        <v>130</v>
      </c>
      <c r="F44" s="40">
        <f>B44*E44</f>
        <v/>
      </c>
      <c r="G44" s="40">
        <f>C44*E44</f>
        <v/>
      </c>
      <c r="H44" s="40">
        <f>D44*E44</f>
        <v/>
      </c>
      <c r="I44" s="41" t="n">
        <v>0.38</v>
      </c>
      <c r="J44" s="41">
        <f>B44*I44</f>
        <v/>
      </c>
      <c r="K44" s="41">
        <f>C44*I44</f>
        <v/>
      </c>
      <c r="L44" s="41">
        <f>D44*I44</f>
        <v/>
      </c>
      <c r="M44" s="6" t="n">
        <v>1.23</v>
      </c>
      <c r="N44" s="42">
        <f>B44*M44</f>
        <v/>
      </c>
      <c r="O44" s="42">
        <f>C44*M44</f>
        <v/>
      </c>
      <c r="P44" s="42">
        <f>D44*M44</f>
        <v/>
      </c>
      <c r="Q44" s="7" t="inlineStr">
        <is>
          <t>×2/person; climb day</t>
        </is>
      </c>
    </row>
    <row r="45">
      <c r="A45" s="10" t="inlineStr">
        <is>
          <t>Banana Chips (1 oz)</t>
        </is>
      </c>
      <c r="B45" s="9" t="n">
        <v>3</v>
      </c>
      <c r="C45" s="9" t="n">
        <v>4</v>
      </c>
      <c r="D45" s="9" t="n">
        <v>3</v>
      </c>
      <c r="E45" s="9" t="n">
        <v>100</v>
      </c>
      <c r="F45" s="37">
        <f>B45*E45</f>
        <v/>
      </c>
      <c r="G45" s="37">
        <f>C45*E45</f>
        <v/>
      </c>
      <c r="H45" s="37">
        <f>D45*E45</f>
        <v/>
      </c>
      <c r="I45" s="38" t="n">
        <v>0.45</v>
      </c>
      <c r="J45" s="38">
        <f>B45*I45</f>
        <v/>
      </c>
      <c r="K45" s="38">
        <f>C45*I45</f>
        <v/>
      </c>
      <c r="L45" s="38">
        <f>D45*I45</f>
        <v/>
      </c>
      <c r="M45" s="9" t="n">
        <v>1</v>
      </c>
      <c r="N45" s="39">
        <f>B45*M45</f>
        <v/>
      </c>
      <c r="O45" s="39">
        <f>C45*M45</f>
        <v/>
      </c>
      <c r="P45" s="39">
        <f>D45*M45</f>
        <v/>
      </c>
      <c r="Q45" s="10" t="inlineStr">
        <is>
          <t>Nut-free ✓</t>
        </is>
      </c>
    </row>
    <row r="46">
      <c r="A46" s="43" t="inlineStr">
        <is>
          <t xml:space="preserve">  SNACKS Total</t>
        </is>
      </c>
      <c r="B46" s="44" t="n"/>
      <c r="C46" s="44" t="n"/>
      <c r="D46" s="44" t="n"/>
      <c r="E46" s="44" t="n"/>
      <c r="F46" s="45">
        <f>SUM(F42:F45)</f>
        <v/>
      </c>
      <c r="G46" s="45">
        <f>SUM(G42:G45)</f>
        <v/>
      </c>
      <c r="H46" s="45">
        <f>SUM(H42:H45)</f>
        <v/>
      </c>
      <c r="I46" s="43" t="n"/>
      <c r="J46" s="46">
        <f>SUM(J42:J45)</f>
        <v/>
      </c>
      <c r="K46" s="46">
        <f>SUM(K42:K45)</f>
        <v/>
      </c>
      <c r="L46" s="46">
        <f>SUM(L42:L45)</f>
        <v/>
      </c>
      <c r="M46" s="44" t="n"/>
      <c r="N46" s="47">
        <f>SUM(N42:N45)</f>
        <v/>
      </c>
      <c r="O46" s="47">
        <f>SUM(O42:O45)</f>
        <v/>
      </c>
      <c r="P46" s="47">
        <f>SUM(P42:P45)</f>
        <v/>
      </c>
      <c r="Q46" s="43" t="n"/>
    </row>
    <row r="47" ht="24" customHeight="1">
      <c r="A47" s="30" t="inlineStr">
        <is>
          <t xml:space="preserve">  Sun Jul 26 — LUNCH</t>
        </is>
      </c>
    </row>
    <row r="48" ht="30" customHeight="1">
      <c r="A48" s="31" t="inlineStr">
        <is>
          <t>Food Item</t>
        </is>
      </c>
      <c r="B48" s="31" t="inlineStr">
        <is>
          <t>Qty
(Scout 3)</t>
        </is>
      </c>
      <c r="C48" s="31" t="inlineStr">
        <is>
          <t>Qty
(Scout 4)</t>
        </is>
      </c>
      <c r="D48" s="31" t="inlineStr">
        <is>
          <t>Qty
(Adult 3)</t>
        </is>
      </c>
      <c r="E48" s="31" t="inlineStr">
        <is>
          <t>kcal/unit</t>
        </is>
      </c>
      <c r="F48" s="31" t="inlineStr">
        <is>
          <t>Scout 3
kcal</t>
        </is>
      </c>
      <c r="G48" s="31" t="inlineStr">
        <is>
          <t>Scout 4
kcal</t>
        </is>
      </c>
      <c r="H48" s="31" t="inlineStr">
        <is>
          <t>Adult 3
kcal</t>
        </is>
      </c>
      <c r="I48" s="31" t="inlineStr">
        <is>
          <t>$/unit</t>
        </is>
      </c>
      <c r="J48" s="31" t="inlineStr">
        <is>
          <t>Scout 3
$</t>
        </is>
      </c>
      <c r="K48" s="31" t="inlineStr">
        <is>
          <t>Scout 4
$</t>
        </is>
      </c>
      <c r="L48" s="31" t="inlineStr">
        <is>
          <t>Adult 3
$</t>
        </is>
      </c>
      <c r="M48" s="31" t="inlineStr">
        <is>
          <t>oz/unit</t>
        </is>
      </c>
      <c r="N48" s="31" t="inlineStr">
        <is>
          <t>Scout 3
oz</t>
        </is>
      </c>
      <c r="O48" s="31" t="inlineStr">
        <is>
          <t>Scout 4
oz</t>
        </is>
      </c>
      <c r="P48" s="31" t="inlineStr">
        <is>
          <t>Adult 3
oz</t>
        </is>
      </c>
      <c r="Q48" s="31" t="inlineStr">
        <is>
          <t>Notes</t>
        </is>
      </c>
    </row>
    <row r="49">
      <c r="A49" s="10" t="inlineStr">
        <is>
          <t>Chicken of the Sea Shredded Chicken Pouch</t>
        </is>
      </c>
      <c r="B49" s="9" t="n">
        <v>3</v>
      </c>
      <c r="C49" s="9" t="n">
        <v>4</v>
      </c>
      <c r="D49" s="9" t="n">
        <v>3</v>
      </c>
      <c r="E49" s="9" t="n">
        <v>70</v>
      </c>
      <c r="F49" s="37">
        <f>B49*E49</f>
        <v/>
      </c>
      <c r="G49" s="37">
        <f>C49*E49</f>
        <v/>
      </c>
      <c r="H49" s="37">
        <f>D49*E49</f>
        <v/>
      </c>
      <c r="I49" s="38" t="n">
        <v>2.29</v>
      </c>
      <c r="J49" s="38">
        <f>B49*I49</f>
        <v/>
      </c>
      <c r="K49" s="38">
        <f>C49*I49</f>
        <v/>
      </c>
      <c r="L49" s="38">
        <f>D49*I49</f>
        <v/>
      </c>
      <c r="M49" s="9" t="n">
        <v>2.5</v>
      </c>
      <c r="N49" s="39">
        <f>B49*M49</f>
        <v/>
      </c>
      <c r="O49" s="39">
        <f>C49*M49</f>
        <v/>
      </c>
      <c r="P49" s="39">
        <f>D49*M49</f>
        <v/>
      </c>
      <c r="Q49" s="10" t="inlineStr">
        <is>
          <t>No cook; nut-free ✓</t>
        </is>
      </c>
    </row>
    <row r="50">
      <c r="A50" s="7" t="inlineStr">
        <is>
          <t>Mission Street Taco Flour Tortillas</t>
        </is>
      </c>
      <c r="B50" s="6" t="n">
        <v>6</v>
      </c>
      <c r="C50" s="6" t="n">
        <v>8</v>
      </c>
      <c r="D50" s="6" t="n">
        <v>6</v>
      </c>
      <c r="E50" s="6" t="n">
        <v>75</v>
      </c>
      <c r="F50" s="40">
        <f>B50*E50</f>
        <v/>
      </c>
      <c r="G50" s="40">
        <f>C50*E50</f>
        <v/>
      </c>
      <c r="H50" s="40">
        <f>D50*E50</f>
        <v/>
      </c>
      <c r="I50" s="41" t="n">
        <v>0.25</v>
      </c>
      <c r="J50" s="41">
        <f>B50*I50</f>
        <v/>
      </c>
      <c r="K50" s="41">
        <f>C50*I50</f>
        <v/>
      </c>
      <c r="L50" s="41">
        <f>D50*I50</f>
        <v/>
      </c>
      <c r="M50" s="6" t="n">
        <v>0.5</v>
      </c>
      <c r="N50" s="42">
        <f>B50*M50</f>
        <v/>
      </c>
      <c r="O50" s="42">
        <f>C50*M50</f>
        <v/>
      </c>
      <c r="P50" s="42">
        <f>D50*M50</f>
        <v/>
      </c>
      <c r="Q50" s="7" t="inlineStr">
        <is>
          <t>2/person; nut-free ✓</t>
        </is>
      </c>
    </row>
    <row r="51">
      <c r="A51" s="10" t="inlineStr">
        <is>
          <t>Tillamook Cheddar Cheese Packets</t>
        </is>
      </c>
      <c r="B51" s="9" t="n">
        <v>3</v>
      </c>
      <c r="C51" s="9" t="n">
        <v>4</v>
      </c>
      <c r="D51" s="9" t="n">
        <v>3</v>
      </c>
      <c r="E51" s="9" t="n">
        <v>90</v>
      </c>
      <c r="F51" s="37">
        <f>B51*E51</f>
        <v/>
      </c>
      <c r="G51" s="37">
        <f>C51*E51</f>
        <v/>
      </c>
      <c r="H51" s="37">
        <f>D51*E51</f>
        <v/>
      </c>
      <c r="I51" s="38" t="n">
        <v>0.75</v>
      </c>
      <c r="J51" s="38">
        <f>B51*I51</f>
        <v/>
      </c>
      <c r="K51" s="38">
        <f>C51*I51</f>
        <v/>
      </c>
      <c r="L51" s="38">
        <f>D51*I51</f>
        <v/>
      </c>
      <c r="M51" s="9" t="n">
        <v>0.7</v>
      </c>
      <c r="N51" s="39">
        <f>B51*M51</f>
        <v/>
      </c>
      <c r="O51" s="39">
        <f>C51*M51</f>
        <v/>
      </c>
      <c r="P51" s="39">
        <f>D51*M51</f>
        <v/>
      </c>
      <c r="Q51" s="10" t="inlineStr">
        <is>
          <t>1/person; nut-free ✓</t>
        </is>
      </c>
    </row>
    <row r="52">
      <c r="A52" s="32" t="inlineStr">
        <is>
          <t>Clif Bar – Crunchy PB</t>
        </is>
      </c>
      <c r="B52" s="33" t="n">
        <v>3</v>
      </c>
      <c r="C52" s="33" t="n">
        <v>4</v>
      </c>
      <c r="D52" s="33" t="n">
        <v>3</v>
      </c>
      <c r="E52" s="33" t="n">
        <v>250</v>
      </c>
      <c r="F52" s="34">
        <f>B52*E52</f>
        <v/>
      </c>
      <c r="G52" s="34">
        <f>C52*E52</f>
        <v/>
      </c>
      <c r="H52" s="34">
        <f>D52*E52</f>
        <v/>
      </c>
      <c r="I52" s="35" t="n">
        <v>1.29</v>
      </c>
      <c r="J52" s="35">
        <f>B52*I52</f>
        <v/>
      </c>
      <c r="K52" s="35">
        <f>C52*I52</f>
        <v/>
      </c>
      <c r="L52" s="35">
        <f>D52*I52</f>
        <v/>
      </c>
      <c r="M52" s="33" t="n">
        <v>2.4</v>
      </c>
      <c r="N52" s="36">
        <f>B52*M52</f>
        <v/>
      </c>
      <c r="O52" s="36">
        <f>C52*M52</f>
        <v/>
      </c>
      <c r="P52" s="36">
        <f>D52*M52</f>
        <v/>
      </c>
      <c r="Q52" s="32" t="inlineStr">
        <is>
          <t>Lunch snack; ⚠ NUT</t>
        </is>
      </c>
    </row>
    <row r="53">
      <c r="A53" s="32" t="inlineStr">
        <is>
          <t>Justin's Classic PB Squeeze Pack</t>
        </is>
      </c>
      <c r="B53" s="33" t="n">
        <v>3</v>
      </c>
      <c r="C53" s="33" t="n">
        <v>4</v>
      </c>
      <c r="D53" s="33" t="n">
        <v>3</v>
      </c>
      <c r="E53" s="33" t="n">
        <v>190</v>
      </c>
      <c r="F53" s="34">
        <f>B53*E53</f>
        <v/>
      </c>
      <c r="G53" s="34">
        <f>C53*E53</f>
        <v/>
      </c>
      <c r="H53" s="34">
        <f>D53*E53</f>
        <v/>
      </c>
      <c r="I53" s="35" t="n">
        <v>1.49</v>
      </c>
      <c r="J53" s="35">
        <f>B53*I53</f>
        <v/>
      </c>
      <c r="K53" s="35">
        <f>C53*I53</f>
        <v/>
      </c>
      <c r="L53" s="35">
        <f>D53*I53</f>
        <v/>
      </c>
      <c r="M53" s="33" t="n">
        <v>1.15</v>
      </c>
      <c r="N53" s="36">
        <f>B53*M53</f>
        <v/>
      </c>
      <c r="O53" s="36">
        <f>C53*M53</f>
        <v/>
      </c>
      <c r="P53" s="36">
        <f>D53*M53</f>
        <v/>
      </c>
      <c r="Q53" s="32" t="inlineStr">
        <is>
          <t>Lunch side; ⚠ NUT</t>
        </is>
      </c>
    </row>
    <row r="54">
      <c r="A54" s="43" t="inlineStr">
        <is>
          <t xml:space="preserve">  LUNCH Total</t>
        </is>
      </c>
      <c r="B54" s="44" t="n"/>
      <c r="C54" s="44" t="n"/>
      <c r="D54" s="44" t="n"/>
      <c r="E54" s="44" t="n"/>
      <c r="F54" s="45">
        <f>SUM(F49:F53)</f>
        <v/>
      </c>
      <c r="G54" s="45">
        <f>SUM(G49:G53)</f>
        <v/>
      </c>
      <c r="H54" s="45">
        <f>SUM(H49:H53)</f>
        <v/>
      </c>
      <c r="I54" s="43" t="n"/>
      <c r="J54" s="46">
        <f>SUM(J49:J53)</f>
        <v/>
      </c>
      <c r="K54" s="46">
        <f>SUM(K49:K53)</f>
        <v/>
      </c>
      <c r="L54" s="46">
        <f>SUM(L49:L53)</f>
        <v/>
      </c>
      <c r="M54" s="44" t="n"/>
      <c r="N54" s="47">
        <f>SUM(N49:N53)</f>
        <v/>
      </c>
      <c r="O54" s="47">
        <f>SUM(O49:O53)</f>
        <v/>
      </c>
      <c r="P54" s="47">
        <f>SUM(P49:P53)</f>
        <v/>
      </c>
      <c r="Q54" s="43" t="n"/>
    </row>
    <row r="55" ht="24" customHeight="1">
      <c r="A55" s="30" t="inlineStr">
        <is>
          <t xml:space="preserve">  Sun Jul 26 — SUPPLEMENT</t>
        </is>
      </c>
    </row>
    <row r="56" ht="30" customHeight="1">
      <c r="A56" s="31" t="inlineStr">
        <is>
          <t>Food Item</t>
        </is>
      </c>
      <c r="B56" s="31" t="inlineStr">
        <is>
          <t>Qty
(Scout 3)</t>
        </is>
      </c>
      <c r="C56" s="31" t="inlineStr">
        <is>
          <t>Qty
(Scout 4)</t>
        </is>
      </c>
      <c r="D56" s="31" t="inlineStr">
        <is>
          <t>Qty
(Adult 3)</t>
        </is>
      </c>
      <c r="E56" s="31" t="inlineStr">
        <is>
          <t>kcal/unit</t>
        </is>
      </c>
      <c r="F56" s="31" t="inlineStr">
        <is>
          <t>Scout 3
kcal</t>
        </is>
      </c>
      <c r="G56" s="31" t="inlineStr">
        <is>
          <t>Scout 4
kcal</t>
        </is>
      </c>
      <c r="H56" s="31" t="inlineStr">
        <is>
          <t>Adult 3
kcal</t>
        </is>
      </c>
      <c r="I56" s="31" t="inlineStr">
        <is>
          <t>$/unit</t>
        </is>
      </c>
      <c r="J56" s="31" t="inlineStr">
        <is>
          <t>Scout 3
$</t>
        </is>
      </c>
      <c r="K56" s="31" t="inlineStr">
        <is>
          <t>Scout 4
$</t>
        </is>
      </c>
      <c r="L56" s="31" t="inlineStr">
        <is>
          <t>Adult 3
$</t>
        </is>
      </c>
      <c r="M56" s="31" t="inlineStr">
        <is>
          <t>oz/unit</t>
        </is>
      </c>
      <c r="N56" s="31" t="inlineStr">
        <is>
          <t>Scout 3
oz</t>
        </is>
      </c>
      <c r="O56" s="31" t="inlineStr">
        <is>
          <t>Scout 4
oz</t>
        </is>
      </c>
      <c r="P56" s="31" t="inlineStr">
        <is>
          <t>Adult 3
oz</t>
        </is>
      </c>
      <c r="Q56" s="31" t="inlineStr">
        <is>
          <t>Notes</t>
        </is>
      </c>
    </row>
    <row r="57">
      <c r="A57" s="32" t="inlineStr">
        <is>
          <t>Clif Builder's Bar (adult supplement)</t>
        </is>
      </c>
      <c r="B57" s="33" t="n">
        <v>0</v>
      </c>
      <c r="C57" s="33" t="n">
        <v>0</v>
      </c>
      <c r="D57" s="33" t="n">
        <v>3</v>
      </c>
      <c r="E57" s="33" t="n">
        <v>290</v>
      </c>
      <c r="F57" s="34">
        <f>B57*E57</f>
        <v/>
      </c>
      <c r="G57" s="34">
        <f>C57*E57</f>
        <v/>
      </c>
      <c r="H57" s="34">
        <f>D57*E57</f>
        <v/>
      </c>
      <c r="I57" s="35" t="n">
        <v>2.17</v>
      </c>
      <c r="J57" s="35">
        <f>B57*I57</f>
        <v/>
      </c>
      <c r="K57" s="35">
        <f>C57*I57</f>
        <v/>
      </c>
      <c r="L57" s="35">
        <f>D57*I57</f>
        <v/>
      </c>
      <c r="M57" s="33" t="n">
        <v>2.4</v>
      </c>
      <c r="N57" s="36">
        <f>B57*M57</f>
        <v/>
      </c>
      <c r="O57" s="36">
        <f>C57*M57</f>
        <v/>
      </c>
      <c r="P57" s="36">
        <f>D57*M57</f>
        <v/>
      </c>
      <c r="Q57" s="32" t="inlineStr">
        <is>
          <t>Adults only ★; ⚠ NUT</t>
        </is>
      </c>
    </row>
    <row r="58">
      <c r="A58" s="32" t="inlineStr">
        <is>
          <t>Justin's PB Squeeze (adult supplement)</t>
        </is>
      </c>
      <c r="B58" s="33" t="n">
        <v>0</v>
      </c>
      <c r="C58" s="33" t="n">
        <v>0</v>
      </c>
      <c r="D58" s="33" t="n">
        <v>3</v>
      </c>
      <c r="E58" s="33" t="n">
        <v>190</v>
      </c>
      <c r="F58" s="34">
        <f>B58*E58</f>
        <v/>
      </c>
      <c r="G58" s="34">
        <f>C58*E58</f>
        <v/>
      </c>
      <c r="H58" s="34">
        <f>D58*E58</f>
        <v/>
      </c>
      <c r="I58" s="35" t="n">
        <v>1.49</v>
      </c>
      <c r="J58" s="35">
        <f>B58*I58</f>
        <v/>
      </c>
      <c r="K58" s="35">
        <f>C58*I58</f>
        <v/>
      </c>
      <c r="L58" s="35">
        <f>D58*I58</f>
        <v/>
      </c>
      <c r="M58" s="33" t="n">
        <v>1.15</v>
      </c>
      <c r="N58" s="36">
        <f>B58*M58</f>
        <v/>
      </c>
      <c r="O58" s="36">
        <f>C58*M58</f>
        <v/>
      </c>
      <c r="P58" s="36">
        <f>D58*M58</f>
        <v/>
      </c>
      <c r="Q58" s="32" t="inlineStr">
        <is>
          <t>Adults only ★; ⚠ NUT</t>
        </is>
      </c>
    </row>
    <row r="59">
      <c r="A59" s="43" t="inlineStr">
        <is>
          <t xml:space="preserve">  SUPPLEMENT Total</t>
        </is>
      </c>
      <c r="B59" s="44" t="n"/>
      <c r="C59" s="44" t="n"/>
      <c r="D59" s="44" t="n"/>
      <c r="E59" s="44" t="n"/>
      <c r="F59" s="45">
        <f>SUM(F57:F58)</f>
        <v/>
      </c>
      <c r="G59" s="45">
        <f>SUM(G57:G58)</f>
        <v/>
      </c>
      <c r="H59" s="45">
        <f>SUM(H57:H58)</f>
        <v/>
      </c>
      <c r="I59" s="43" t="n"/>
      <c r="J59" s="46">
        <f>SUM(J57:J58)</f>
        <v/>
      </c>
      <c r="K59" s="46">
        <f>SUM(K57:K58)</f>
        <v/>
      </c>
      <c r="L59" s="46">
        <f>SUM(L57:L58)</f>
        <v/>
      </c>
      <c r="M59" s="44" t="n"/>
      <c r="N59" s="47">
        <f>SUM(N57:N58)</f>
        <v/>
      </c>
      <c r="O59" s="47">
        <f>SUM(O57:O58)</f>
        <v/>
      </c>
      <c r="P59" s="47">
        <f>SUM(P57:P58)</f>
        <v/>
      </c>
      <c r="Q59" s="43" t="n"/>
    </row>
    <row r="60" ht="24" customHeight="1">
      <c r="A60" s="30" t="inlineStr">
        <is>
          <t xml:space="preserve">  Sun Jul 26 — DINNER</t>
        </is>
      </c>
    </row>
    <row r="61" ht="30" customHeight="1">
      <c r="A61" s="31" t="inlineStr">
        <is>
          <t>Food Item</t>
        </is>
      </c>
      <c r="B61" s="31" t="inlineStr">
        <is>
          <t>Qty
(Scout 3)</t>
        </is>
      </c>
      <c r="C61" s="31" t="inlineStr">
        <is>
          <t>Qty
(Scout 4)</t>
        </is>
      </c>
      <c r="D61" s="31" t="inlineStr">
        <is>
          <t>Qty
(Adult 3)</t>
        </is>
      </c>
      <c r="E61" s="31" t="inlineStr">
        <is>
          <t>kcal/unit</t>
        </is>
      </c>
      <c r="F61" s="31" t="inlineStr">
        <is>
          <t>Scout 3
kcal</t>
        </is>
      </c>
      <c r="G61" s="31" t="inlineStr">
        <is>
          <t>Scout 4
kcal</t>
        </is>
      </c>
      <c r="H61" s="31" t="inlineStr">
        <is>
          <t>Adult 3
kcal</t>
        </is>
      </c>
      <c r="I61" s="31" t="inlineStr">
        <is>
          <t>$/unit</t>
        </is>
      </c>
      <c r="J61" s="31" t="inlineStr">
        <is>
          <t>Scout 3
$</t>
        </is>
      </c>
      <c r="K61" s="31" t="inlineStr">
        <is>
          <t>Scout 4
$</t>
        </is>
      </c>
      <c r="L61" s="31" t="inlineStr">
        <is>
          <t>Adult 3
$</t>
        </is>
      </c>
      <c r="M61" s="31" t="inlineStr">
        <is>
          <t>oz/unit</t>
        </is>
      </c>
      <c r="N61" s="31" t="inlineStr">
        <is>
          <t>Scout 3
oz</t>
        </is>
      </c>
      <c r="O61" s="31" t="inlineStr">
        <is>
          <t>Scout 4
oz</t>
        </is>
      </c>
      <c r="P61" s="31" t="inlineStr">
        <is>
          <t>Adult 3
oz</t>
        </is>
      </c>
      <c r="Q61" s="31" t="inlineStr">
        <is>
          <t>Notes</t>
        </is>
      </c>
    </row>
    <row r="62">
      <c r="A62" s="7" t="inlineStr">
        <is>
          <t>Peak Refuel – Beef Stroganoff</t>
        </is>
      </c>
      <c r="B62" s="6" t="n">
        <v>2</v>
      </c>
      <c r="C62" s="6" t="n">
        <v>3</v>
      </c>
      <c r="D62" s="6" t="n">
        <v>3</v>
      </c>
      <c r="E62" s="6" t="n">
        <v>600</v>
      </c>
      <c r="F62" s="40">
        <f>B62*E62</f>
        <v/>
      </c>
      <c r="G62" s="40">
        <f>C62*E62</f>
        <v/>
      </c>
      <c r="H62" s="40">
        <f>D62*E62</f>
        <v/>
      </c>
      <c r="I62" s="41" t="n">
        <v>7.49</v>
      </c>
      <c r="J62" s="41">
        <f>B62*I62</f>
        <v/>
      </c>
      <c r="K62" s="41">
        <f>C62*I62</f>
        <v/>
      </c>
      <c r="L62" s="41">
        <f>D62*I62</f>
        <v/>
      </c>
      <c r="M62" s="6" t="n">
        <v>3.5</v>
      </c>
      <c r="N62" s="42">
        <f>B62*M62</f>
        <v/>
      </c>
      <c r="O62" s="42">
        <f>C62*M62</f>
        <v/>
      </c>
      <c r="P62" s="42">
        <f>D62*M62</f>
        <v/>
      </c>
      <c r="Q62" s="7" t="inlineStr">
        <is>
          <t>Sun dinner (1.5 svgs/pouch)</t>
        </is>
      </c>
    </row>
    <row r="63">
      <c r="A63" s="10" t="inlineStr">
        <is>
          <t>Mission Street Taco Flour Tortillas</t>
        </is>
      </c>
      <c r="B63" s="9" t="n">
        <v>6</v>
      </c>
      <c r="C63" s="9" t="n">
        <v>8</v>
      </c>
      <c r="D63" s="9" t="n">
        <v>6</v>
      </c>
      <c r="E63" s="9" t="n">
        <v>75</v>
      </c>
      <c r="F63" s="37">
        <f>B63*E63</f>
        <v/>
      </c>
      <c r="G63" s="37">
        <f>C63*E63</f>
        <v/>
      </c>
      <c r="H63" s="37">
        <f>D63*E63</f>
        <v/>
      </c>
      <c r="I63" s="38" t="n">
        <v>0.25</v>
      </c>
      <c r="J63" s="38">
        <f>B63*I63</f>
        <v/>
      </c>
      <c r="K63" s="38">
        <f>C63*I63</f>
        <v/>
      </c>
      <c r="L63" s="38">
        <f>D63*I63</f>
        <v/>
      </c>
      <c r="M63" s="9" t="n">
        <v>0.5</v>
      </c>
      <c r="N63" s="39">
        <f>B63*M63</f>
        <v/>
      </c>
      <c r="O63" s="39">
        <f>C63*M63</f>
        <v/>
      </c>
      <c r="P63" s="39">
        <f>D63*M63</f>
        <v/>
      </c>
      <c r="Q63" s="10" t="inlineStr">
        <is>
          <t>2/person; nut-free ✓</t>
        </is>
      </c>
    </row>
    <row r="64">
      <c r="A64" s="7" t="inlineStr">
        <is>
          <t>Idahoan Mashed Potatoes – Butter &amp; Herb</t>
        </is>
      </c>
      <c r="B64" s="6" t="n">
        <v>3</v>
      </c>
      <c r="C64" s="6" t="n">
        <v>4</v>
      </c>
      <c r="D64" s="6" t="n">
        <v>3</v>
      </c>
      <c r="E64" s="6" t="n">
        <v>110</v>
      </c>
      <c r="F64" s="40">
        <f>B64*E64</f>
        <v/>
      </c>
      <c r="G64" s="40">
        <f>C64*E64</f>
        <v/>
      </c>
      <c r="H64" s="40">
        <f>D64*E64</f>
        <v/>
      </c>
      <c r="I64" s="41" t="n">
        <v>0.98</v>
      </c>
      <c r="J64" s="41">
        <f>B64*I64</f>
        <v/>
      </c>
      <c r="K64" s="41">
        <f>C64*I64</f>
        <v/>
      </c>
      <c r="L64" s="41">
        <f>D64*I64</f>
        <v/>
      </c>
      <c r="M64" s="6" t="n">
        <v>1</v>
      </c>
      <c r="N64" s="42">
        <f>B64*M64</f>
        <v/>
      </c>
      <c r="O64" s="42">
        <f>C64*M64</f>
        <v/>
      </c>
      <c r="P64" s="42">
        <f>D64*M64</f>
        <v/>
      </c>
      <c r="Q64" s="7" t="inlineStr">
        <is>
          <t>Dinner side</t>
        </is>
      </c>
    </row>
    <row r="65">
      <c r="A65" s="10" t="inlineStr">
        <is>
          <t>Swiss Miss Hot Chocolate</t>
        </is>
      </c>
      <c r="B65" s="9" t="n">
        <v>6</v>
      </c>
      <c r="C65" s="9" t="n">
        <v>8</v>
      </c>
      <c r="D65" s="9" t="n">
        <v>0</v>
      </c>
      <c r="E65" s="9" t="n">
        <v>90</v>
      </c>
      <c r="F65" s="37">
        <f>B65*E65</f>
        <v/>
      </c>
      <c r="G65" s="37">
        <f>C65*E65</f>
        <v/>
      </c>
      <c r="H65" s="37">
        <f>D65*E65</f>
        <v/>
      </c>
      <c r="I65" s="38" t="n">
        <v>0.38</v>
      </c>
      <c r="J65" s="38">
        <f>B65*I65</f>
        <v/>
      </c>
      <c r="K65" s="38">
        <f>C65*I65</f>
        <v/>
      </c>
      <c r="L65" s="38">
        <f>D65*I65</f>
        <v/>
      </c>
      <c r="M65" s="9" t="n">
        <v>0.73</v>
      </c>
      <c r="N65" s="39">
        <f>B65*M65</f>
        <v/>
      </c>
      <c r="O65" s="39">
        <f>C65*M65</f>
        <v/>
      </c>
      <c r="P65" s="39">
        <f>D65*M65</f>
        <v/>
      </c>
      <c r="Q65" s="10" t="inlineStr">
        <is>
          <t>Scouts only (2 packets/person)</t>
        </is>
      </c>
    </row>
    <row r="66">
      <c r="A66" s="43" t="inlineStr">
        <is>
          <t xml:space="preserve">  DINNER Total</t>
        </is>
      </c>
      <c r="B66" s="44" t="n"/>
      <c r="C66" s="44" t="n"/>
      <c r="D66" s="44" t="n"/>
      <c r="E66" s="44" t="n"/>
      <c r="F66" s="45">
        <f>SUM(F62:F65)</f>
        <v/>
      </c>
      <c r="G66" s="45">
        <f>SUM(G62:G65)</f>
        <v/>
      </c>
      <c r="H66" s="45">
        <f>SUM(H62:H65)</f>
        <v/>
      </c>
      <c r="I66" s="43" t="n"/>
      <c r="J66" s="46">
        <f>SUM(J62:J65)</f>
        <v/>
      </c>
      <c r="K66" s="46">
        <f>SUM(K62:K65)</f>
        <v/>
      </c>
      <c r="L66" s="46">
        <f>SUM(L62:L65)</f>
        <v/>
      </c>
      <c r="M66" s="44" t="n"/>
      <c r="N66" s="47">
        <f>SUM(N62:N65)</f>
        <v/>
      </c>
      <c r="O66" s="47">
        <f>SUM(O62:O65)</f>
        <v/>
      </c>
      <c r="P66" s="47">
        <f>SUM(P62:P65)</f>
        <v/>
      </c>
      <c r="Q66" s="43" t="n"/>
    </row>
    <row r="67" ht="24" customHeight="1">
      <c r="A67" s="30" t="inlineStr">
        <is>
          <t xml:space="preserve">  Sun Jul 26 — DESSERT</t>
        </is>
      </c>
    </row>
    <row r="68" ht="30" customHeight="1">
      <c r="A68" s="31" t="inlineStr">
        <is>
          <t>Food Item</t>
        </is>
      </c>
      <c r="B68" s="31" t="inlineStr">
        <is>
          <t>Qty
(Scout 3)</t>
        </is>
      </c>
      <c r="C68" s="31" t="inlineStr">
        <is>
          <t>Qty
(Scout 4)</t>
        </is>
      </c>
      <c r="D68" s="31" t="inlineStr">
        <is>
          <t>Qty
(Adult 3)</t>
        </is>
      </c>
      <c r="E68" s="31" t="inlineStr">
        <is>
          <t>kcal/unit</t>
        </is>
      </c>
      <c r="F68" s="31" t="inlineStr">
        <is>
          <t>Scout 3
kcal</t>
        </is>
      </c>
      <c r="G68" s="31" t="inlineStr">
        <is>
          <t>Scout 4
kcal</t>
        </is>
      </c>
      <c r="H68" s="31" t="inlineStr">
        <is>
          <t>Adult 3
kcal</t>
        </is>
      </c>
      <c r="I68" s="31" t="inlineStr">
        <is>
          <t>$/unit</t>
        </is>
      </c>
      <c r="J68" s="31" t="inlineStr">
        <is>
          <t>Scout 3
$</t>
        </is>
      </c>
      <c r="K68" s="31" t="inlineStr">
        <is>
          <t>Scout 4
$</t>
        </is>
      </c>
      <c r="L68" s="31" t="inlineStr">
        <is>
          <t>Adult 3
$</t>
        </is>
      </c>
      <c r="M68" s="31" t="inlineStr">
        <is>
          <t>oz/unit</t>
        </is>
      </c>
      <c r="N68" s="31" t="inlineStr">
        <is>
          <t>Scout 3
oz</t>
        </is>
      </c>
      <c r="O68" s="31" t="inlineStr">
        <is>
          <t>Scout 4
oz</t>
        </is>
      </c>
      <c r="P68" s="31" t="inlineStr">
        <is>
          <t>Adult 3
oz</t>
        </is>
      </c>
      <c r="Q68" s="31" t="inlineStr">
        <is>
          <t>Notes</t>
        </is>
      </c>
    </row>
    <row r="69">
      <c r="A69" s="32" t="inlineStr">
        <is>
          <t>Justin's Dark Chocolate Peanut Butter Cups</t>
        </is>
      </c>
      <c r="B69" s="33" t="n">
        <v>3</v>
      </c>
      <c r="C69" s="33" t="n">
        <v>4</v>
      </c>
      <c r="D69" s="33" t="n">
        <v>3</v>
      </c>
      <c r="E69" s="33" t="n">
        <v>210</v>
      </c>
      <c r="F69" s="34">
        <f>B69*E69</f>
        <v/>
      </c>
      <c r="G69" s="34">
        <f>C69*E69</f>
        <v/>
      </c>
      <c r="H69" s="34">
        <f>D69*E69</f>
        <v/>
      </c>
      <c r="I69" s="35" t="n">
        <v>1.49</v>
      </c>
      <c r="J69" s="35">
        <f>B69*I69</f>
        <v/>
      </c>
      <c r="K69" s="35">
        <f>C69*I69</f>
        <v/>
      </c>
      <c r="L69" s="35">
        <f>D69*I69</f>
        <v/>
      </c>
      <c r="M69" s="33" t="n">
        <v>1.41</v>
      </c>
      <c r="N69" s="36">
        <f>B69*M69</f>
        <v/>
      </c>
      <c r="O69" s="36">
        <f>C69*M69</f>
        <v/>
      </c>
      <c r="P69" s="36">
        <f>D69*M69</f>
        <v/>
      </c>
      <c r="Q69" s="32" t="inlineStr">
        <is>
          <t>1 packet/person; ⚠ NUT</t>
        </is>
      </c>
    </row>
    <row r="70">
      <c r="A70" s="7" t="inlineStr">
        <is>
          <t>Swiss Miss Hot Chocolate</t>
        </is>
      </c>
      <c r="B70" s="6" t="n">
        <v>6</v>
      </c>
      <c r="C70" s="6" t="n">
        <v>8</v>
      </c>
      <c r="D70" s="6" t="n">
        <v>0</v>
      </c>
      <c r="E70" s="6" t="n">
        <v>90</v>
      </c>
      <c r="F70" s="40">
        <f>B70*E70</f>
        <v/>
      </c>
      <c r="G70" s="40">
        <f>C70*E70</f>
        <v/>
      </c>
      <c r="H70" s="40">
        <f>D70*E70</f>
        <v/>
      </c>
      <c r="I70" s="41" t="n">
        <v>0.38</v>
      </c>
      <c r="J70" s="41">
        <f>B70*I70</f>
        <v/>
      </c>
      <c r="K70" s="41">
        <f>C70*I70</f>
        <v/>
      </c>
      <c r="L70" s="41">
        <f>D70*I70</f>
        <v/>
      </c>
      <c r="M70" s="6" t="n">
        <v>0.73</v>
      </c>
      <c r="N70" s="42">
        <f>B70*M70</f>
        <v/>
      </c>
      <c r="O70" s="42">
        <f>C70*M70</f>
        <v/>
      </c>
      <c r="P70" s="42">
        <f>D70*M70</f>
        <v/>
      </c>
      <c r="Q70" s="7" t="inlineStr">
        <is>
          <t>Scouts only (2 packets/person)</t>
        </is>
      </c>
    </row>
    <row r="71">
      <c r="A71" s="43" t="inlineStr">
        <is>
          <t xml:space="preserve">  DESSERT Total</t>
        </is>
      </c>
      <c r="B71" s="44" t="n"/>
      <c r="C71" s="44" t="n"/>
      <c r="D71" s="44" t="n"/>
      <c r="E71" s="44" t="n"/>
      <c r="F71" s="45">
        <f>SUM(F69:F70)</f>
        <v/>
      </c>
      <c r="G71" s="45">
        <f>SUM(G69:G70)</f>
        <v/>
      </c>
      <c r="H71" s="45">
        <f>SUM(H69:H70)</f>
        <v/>
      </c>
      <c r="I71" s="43" t="n"/>
      <c r="J71" s="46">
        <f>SUM(J69:J70)</f>
        <v/>
      </c>
      <c r="K71" s="46">
        <f>SUM(K69:K70)</f>
        <v/>
      </c>
      <c r="L71" s="46">
        <f>SUM(L69:L70)</f>
        <v/>
      </c>
      <c r="M71" s="44" t="n"/>
      <c r="N71" s="47">
        <f>SUM(N69:N70)</f>
        <v/>
      </c>
      <c r="O71" s="47">
        <f>SUM(O69:O70)</f>
        <v/>
      </c>
      <c r="P71" s="47">
        <f>SUM(P69:P70)</f>
        <v/>
      </c>
      <c r="Q71" s="43" t="n"/>
    </row>
    <row r="72">
      <c r="A72" s="48" t="inlineStr">
        <is>
          <t>DAY 2 (Sun Jul 26) TOTAL</t>
        </is>
      </c>
      <c r="B72" s="48" t="n"/>
      <c r="C72" s="48" t="n"/>
      <c r="D72" s="48" t="n"/>
      <c r="E72" s="48" t="n"/>
      <c r="F72" s="49">
        <f>SUM(F39,F46,F54,F59,F66,F71)</f>
        <v/>
      </c>
      <c r="G72" s="49">
        <f>SUM(G39,G46,G54,G59,G66,G71)</f>
        <v/>
      </c>
      <c r="H72" s="49">
        <f>SUM(H39,H46,H54,H59,H66,H71)</f>
        <v/>
      </c>
      <c r="I72" s="48" t="n"/>
      <c r="J72" s="50">
        <f>SUM(J39,J46,J54,J59,J66,J71)</f>
        <v/>
      </c>
      <c r="K72" s="50">
        <f>SUM(K39,K46,K54,K59,K66,K71)</f>
        <v/>
      </c>
      <c r="L72" s="50">
        <f>SUM(L39,L46,L54,L59,L66,L71)</f>
        <v/>
      </c>
      <c r="M72" s="48" t="n"/>
      <c r="N72" s="51">
        <f>SUM(N39,N46,N54,N59,N66,N71)</f>
        <v/>
      </c>
      <c r="O72" s="51">
        <f>SUM(O39,O46,O54,O59,O66,O71)</f>
        <v/>
      </c>
      <c r="P72" s="51">
        <f>SUM(P39,P46,P54,P59,P66,P71)</f>
        <v/>
      </c>
      <c r="Q72" s="48" t="n"/>
    </row>
    <row r="73"/>
    <row r="74" ht="24" customHeight="1">
      <c r="A74" s="28" t="inlineStr">
        <is>
          <t>MON JUL 27 — DAY 3 DETAILS</t>
        </is>
      </c>
    </row>
    <row r="75" ht="24" customHeight="1">
      <c r="A75" s="30" t="inlineStr">
        <is>
          <t xml:space="preserve">  Mon Jul 27 — BREAKFAST</t>
        </is>
      </c>
    </row>
    <row r="76" ht="30" customHeight="1">
      <c r="A76" s="31" t="inlineStr">
        <is>
          <t>Food Item</t>
        </is>
      </c>
      <c r="B76" s="31" t="inlineStr">
        <is>
          <t>Qty
(Scout 3)</t>
        </is>
      </c>
      <c r="C76" s="31" t="inlineStr">
        <is>
          <t>Qty
(Scout 4)</t>
        </is>
      </c>
      <c r="D76" s="31" t="inlineStr">
        <is>
          <t>Qty
(Adult 3)</t>
        </is>
      </c>
      <c r="E76" s="31" t="inlineStr">
        <is>
          <t>kcal/unit</t>
        </is>
      </c>
      <c r="F76" s="31" t="inlineStr">
        <is>
          <t>Scout 3
kcal</t>
        </is>
      </c>
      <c r="G76" s="31" t="inlineStr">
        <is>
          <t>Scout 4
kcal</t>
        </is>
      </c>
      <c r="H76" s="31" t="inlineStr">
        <is>
          <t>Adult 3
kcal</t>
        </is>
      </c>
      <c r="I76" s="31" t="inlineStr">
        <is>
          <t>$/unit</t>
        </is>
      </c>
      <c r="J76" s="31" t="inlineStr">
        <is>
          <t>Scout 3
$</t>
        </is>
      </c>
      <c r="K76" s="31" t="inlineStr">
        <is>
          <t>Scout 4
$</t>
        </is>
      </c>
      <c r="L76" s="31" t="inlineStr">
        <is>
          <t>Adult 3
$</t>
        </is>
      </c>
      <c r="M76" s="31" t="inlineStr">
        <is>
          <t>oz/unit</t>
        </is>
      </c>
      <c r="N76" s="31" t="inlineStr">
        <is>
          <t>Scout 3
oz</t>
        </is>
      </c>
      <c r="O76" s="31" t="inlineStr">
        <is>
          <t>Scout 4
oz</t>
        </is>
      </c>
      <c r="P76" s="31" t="inlineStr">
        <is>
          <t>Adult 3
oz</t>
        </is>
      </c>
      <c r="Q76" s="31" t="inlineStr">
        <is>
          <t>Notes</t>
        </is>
      </c>
    </row>
    <row r="77">
      <c r="A77" s="32" t="inlineStr">
        <is>
          <t>ProBar Meal – Oatmeal Chocolate Chip</t>
        </is>
      </c>
      <c r="B77" s="33" t="n">
        <v>3</v>
      </c>
      <c r="C77" s="33" t="n">
        <v>4</v>
      </c>
      <c r="D77" s="33" t="n">
        <v>3</v>
      </c>
      <c r="E77" s="33" t="n">
        <v>290</v>
      </c>
      <c r="F77" s="34">
        <f>B77*E77</f>
        <v/>
      </c>
      <c r="G77" s="34">
        <f>C77*E77</f>
        <v/>
      </c>
      <c r="H77" s="34">
        <f>D77*E77</f>
        <v/>
      </c>
      <c r="I77" s="35" t="n">
        <v>2.99</v>
      </c>
      <c r="J77" s="35">
        <f>B77*I77</f>
        <v/>
      </c>
      <c r="K77" s="35">
        <f>C77*I77</f>
        <v/>
      </c>
      <c r="L77" s="35">
        <f>D77*I77</f>
        <v/>
      </c>
      <c r="M77" s="33" t="n">
        <v>3</v>
      </c>
      <c r="N77" s="36">
        <f>B77*M77</f>
        <v/>
      </c>
      <c r="O77" s="36">
        <f>C77*M77</f>
        <v/>
      </c>
      <c r="P77" s="36">
        <f>D77*M77</f>
        <v/>
      </c>
      <c r="Q77" s="32" t="inlineStr">
        <is>
          <t>Bkfst · ⚠ NUT (cashews)</t>
        </is>
      </c>
    </row>
    <row r="78">
      <c r="A78" s="7" t="inlineStr">
        <is>
          <t>Swiss Miss Hot Chocolate</t>
        </is>
      </c>
      <c r="B78" s="6" t="n">
        <v>6</v>
      </c>
      <c r="C78" s="6" t="n">
        <v>8</v>
      </c>
      <c r="D78" s="6" t="n">
        <v>0</v>
      </c>
      <c r="E78" s="6" t="n">
        <v>90</v>
      </c>
      <c r="F78" s="40">
        <f>B78*E78</f>
        <v/>
      </c>
      <c r="G78" s="40">
        <f>C78*E78</f>
        <v/>
      </c>
      <c r="H78" s="40">
        <f>D78*E78</f>
        <v/>
      </c>
      <c r="I78" s="41" t="n">
        <v>0.38</v>
      </c>
      <c r="J78" s="41">
        <f>B78*I78</f>
        <v/>
      </c>
      <c r="K78" s="41">
        <f>C78*I78</f>
        <v/>
      </c>
      <c r="L78" s="41">
        <f>D78*I78</f>
        <v/>
      </c>
      <c r="M78" s="6" t="n">
        <v>0.73</v>
      </c>
      <c r="N78" s="42">
        <f>B78*M78</f>
        <v/>
      </c>
      <c r="O78" s="42">
        <f>C78*M78</f>
        <v/>
      </c>
      <c r="P78" s="42">
        <f>D78*M78</f>
        <v/>
      </c>
      <c r="Q78" s="7" t="inlineStr">
        <is>
          <t>Scouts only (2 packets/person)</t>
        </is>
      </c>
    </row>
    <row r="79">
      <c r="A79" s="52" t="inlineStr">
        <is>
          <t>Adults: own coffee / tea</t>
        </is>
      </c>
      <c r="B79" s="53" t="n">
        <v>0</v>
      </c>
      <c r="C79" s="53" t="n">
        <v>0</v>
      </c>
      <c r="D79" s="53" t="n">
        <v>3</v>
      </c>
      <c r="E79" s="53" t="n">
        <v>0</v>
      </c>
      <c r="F79" s="54">
        <f>B79*E79</f>
        <v/>
      </c>
      <c r="G79" s="54">
        <f>C79*E79</f>
        <v/>
      </c>
      <c r="H79" s="54">
        <f>D79*E79</f>
        <v/>
      </c>
      <c r="I79" s="55" t="n">
        <v>0</v>
      </c>
      <c r="J79" s="55">
        <f>B79*I79</f>
        <v/>
      </c>
      <c r="K79" s="55">
        <f>C79*I79</f>
        <v/>
      </c>
      <c r="L79" s="55">
        <f>D79*I79</f>
        <v/>
      </c>
      <c r="M79" s="53" t="n">
        <v>0</v>
      </c>
      <c r="N79" s="56">
        <f>B79*M79</f>
        <v/>
      </c>
      <c r="O79" s="56">
        <f>C79*M79</f>
        <v/>
      </c>
      <c r="P79" s="56">
        <f>D79*M79</f>
        <v/>
      </c>
      <c r="Q79" s="52" t="inlineStr">
        <is>
          <t>Adults only ★</t>
        </is>
      </c>
    </row>
    <row r="80">
      <c r="A80" s="43" t="inlineStr">
        <is>
          <t xml:space="preserve">  BREAKFAST Total</t>
        </is>
      </c>
      <c r="B80" s="44" t="n"/>
      <c r="C80" s="44" t="n"/>
      <c r="D80" s="44" t="n"/>
      <c r="E80" s="44" t="n"/>
      <c r="F80" s="45">
        <f>SUM(F77:F79)</f>
        <v/>
      </c>
      <c r="G80" s="45">
        <f>SUM(G77:G79)</f>
        <v/>
      </c>
      <c r="H80" s="45">
        <f>SUM(H77:H79)</f>
        <v/>
      </c>
      <c r="I80" s="43" t="n"/>
      <c r="J80" s="46">
        <f>SUM(J77:J79)</f>
        <v/>
      </c>
      <c r="K80" s="46">
        <f>SUM(K77:K79)</f>
        <v/>
      </c>
      <c r="L80" s="46">
        <f>SUM(L77:L79)</f>
        <v/>
      </c>
      <c r="M80" s="44" t="n"/>
      <c r="N80" s="47">
        <f>SUM(N77:N79)</f>
        <v/>
      </c>
      <c r="O80" s="47">
        <f>SUM(O77:O79)</f>
        <v/>
      </c>
      <c r="P80" s="47">
        <f>SUM(P77:P79)</f>
        <v/>
      </c>
      <c r="Q80" s="43" t="n"/>
    </row>
    <row r="81" ht="24" customHeight="1">
      <c r="A81" s="30" t="inlineStr">
        <is>
          <t xml:space="preserve">  Mon Jul 27 — SNACKS</t>
        </is>
      </c>
    </row>
    <row r="82" ht="30" customHeight="1">
      <c r="A82" s="31" t="inlineStr">
        <is>
          <t>Food Item</t>
        </is>
      </c>
      <c r="B82" s="31" t="inlineStr">
        <is>
          <t>Qty
(Scout 3)</t>
        </is>
      </c>
      <c r="C82" s="31" t="inlineStr">
        <is>
          <t>Qty
(Scout 4)</t>
        </is>
      </c>
      <c r="D82" s="31" t="inlineStr">
        <is>
          <t>Qty
(Adult 3)</t>
        </is>
      </c>
      <c r="E82" s="31" t="inlineStr">
        <is>
          <t>kcal/unit</t>
        </is>
      </c>
      <c r="F82" s="31" t="inlineStr">
        <is>
          <t>Scout 3
kcal</t>
        </is>
      </c>
      <c r="G82" s="31" t="inlineStr">
        <is>
          <t>Scout 4
kcal</t>
        </is>
      </c>
      <c r="H82" s="31" t="inlineStr">
        <is>
          <t>Adult 3
kcal</t>
        </is>
      </c>
      <c r="I82" s="31" t="inlineStr">
        <is>
          <t>$/unit</t>
        </is>
      </c>
      <c r="J82" s="31" t="inlineStr">
        <is>
          <t>Scout 3
$</t>
        </is>
      </c>
      <c r="K82" s="31" t="inlineStr">
        <is>
          <t>Scout 4
$</t>
        </is>
      </c>
      <c r="L82" s="31" t="inlineStr">
        <is>
          <t>Adult 3
$</t>
        </is>
      </c>
      <c r="M82" s="31" t="inlineStr">
        <is>
          <t>oz/unit</t>
        </is>
      </c>
      <c r="N82" s="31" t="inlineStr">
        <is>
          <t>Scout 3
oz</t>
        </is>
      </c>
      <c r="O82" s="31" t="inlineStr">
        <is>
          <t>Scout 4
oz</t>
        </is>
      </c>
      <c r="P82" s="31" t="inlineStr">
        <is>
          <t>Adult 3
oz</t>
        </is>
      </c>
      <c r="Q82" s="31" t="inlineStr">
        <is>
          <t>Notes</t>
        </is>
      </c>
    </row>
    <row r="83">
      <c r="A83" s="10" t="inlineStr">
        <is>
          <t>Krave Sea Salt Original Beef Jerky</t>
        </is>
      </c>
      <c r="B83" s="9" t="n">
        <v>3</v>
      </c>
      <c r="C83" s="9" t="n">
        <v>4</v>
      </c>
      <c r="D83" s="9" t="n">
        <v>3</v>
      </c>
      <c r="E83" s="9" t="n">
        <v>140</v>
      </c>
      <c r="F83" s="37">
        <f>B83*E83</f>
        <v/>
      </c>
      <c r="G83" s="37">
        <f>C83*E83</f>
        <v/>
      </c>
      <c r="H83" s="37">
        <f>D83*E83</f>
        <v/>
      </c>
      <c r="I83" s="38" t="n">
        <v>2.19</v>
      </c>
      <c r="J83" s="38">
        <f>B83*I83</f>
        <v/>
      </c>
      <c r="K83" s="38">
        <f>C83*I83</f>
        <v/>
      </c>
      <c r="L83" s="38">
        <f>D83*I83</f>
        <v/>
      </c>
      <c r="M83" s="9" t="n">
        <v>1.48</v>
      </c>
      <c r="N83" s="39">
        <f>B83*M83</f>
        <v/>
      </c>
      <c r="O83" s="39">
        <f>C83*M83</f>
        <v/>
      </c>
      <c r="P83" s="39">
        <f>D83*M83</f>
        <v/>
      </c>
      <c r="Q83" s="10" t="inlineStr">
        <is>
          <t>Safe for nut allergy ✓</t>
        </is>
      </c>
    </row>
    <row r="84">
      <c r="A84" s="32" t="inlineStr">
        <is>
          <t>Clif Bar – Crunchy PB</t>
        </is>
      </c>
      <c r="B84" s="33" t="n">
        <v>3</v>
      </c>
      <c r="C84" s="33" t="n">
        <v>4</v>
      </c>
      <c r="D84" s="33" t="n">
        <v>3</v>
      </c>
      <c r="E84" s="33" t="n">
        <v>250</v>
      </c>
      <c r="F84" s="34">
        <f>B84*E84</f>
        <v/>
      </c>
      <c r="G84" s="34">
        <f>C84*E84</f>
        <v/>
      </c>
      <c r="H84" s="34">
        <f>D84*E84</f>
        <v/>
      </c>
      <c r="I84" s="35" t="n">
        <v>1.29</v>
      </c>
      <c r="J84" s="35">
        <f>B84*I84</f>
        <v/>
      </c>
      <c r="K84" s="35">
        <f>C84*I84</f>
        <v/>
      </c>
      <c r="L84" s="35">
        <f>D84*I84</f>
        <v/>
      </c>
      <c r="M84" s="33" t="n">
        <v>2.4</v>
      </c>
      <c r="N84" s="36">
        <f>B84*M84</f>
        <v/>
      </c>
      <c r="O84" s="36">
        <f>C84*M84</f>
        <v/>
      </c>
      <c r="P84" s="36">
        <f>D84*M84</f>
        <v/>
      </c>
      <c r="Q84" s="32" t="inlineStr">
        <is>
          <t>⚠ NUT</t>
        </is>
      </c>
    </row>
    <row r="85">
      <c r="A85" s="10" t="inlineStr">
        <is>
          <t>Gatorade Powder Pack</t>
        </is>
      </c>
      <c r="B85" s="9" t="n">
        <v>3</v>
      </c>
      <c r="C85" s="9" t="n">
        <v>4</v>
      </c>
      <c r="D85" s="9" t="n">
        <v>3</v>
      </c>
      <c r="E85" s="9" t="n">
        <v>130</v>
      </c>
      <c r="F85" s="37">
        <f>B85*E85</f>
        <v/>
      </c>
      <c r="G85" s="37">
        <f>C85*E85</f>
        <v/>
      </c>
      <c r="H85" s="37">
        <f>D85*E85</f>
        <v/>
      </c>
      <c r="I85" s="38" t="n">
        <v>0.38</v>
      </c>
      <c r="J85" s="38">
        <f>B85*I85</f>
        <v/>
      </c>
      <c r="K85" s="38">
        <f>C85*I85</f>
        <v/>
      </c>
      <c r="L85" s="38">
        <f>D85*I85</f>
        <v/>
      </c>
      <c r="M85" s="9" t="n">
        <v>1.23</v>
      </c>
      <c r="N85" s="39">
        <f>B85*M85</f>
        <v/>
      </c>
      <c r="O85" s="39">
        <f>C85*M85</f>
        <v/>
      </c>
      <c r="P85" s="39">
        <f>D85*M85</f>
        <v/>
      </c>
      <c r="Q85" s="10" t="inlineStr">
        <is>
          <t>Electrolytes</t>
        </is>
      </c>
    </row>
    <row r="86">
      <c r="A86" s="7" t="inlineStr">
        <is>
          <t>Peak Refuel – Fudge Brownie Bites</t>
        </is>
      </c>
      <c r="B86" s="6" t="n">
        <v>2</v>
      </c>
      <c r="C86" s="6" t="n">
        <v>2</v>
      </c>
      <c r="D86" s="6" t="n">
        <v>2</v>
      </c>
      <c r="E86" s="6" t="n">
        <v>450</v>
      </c>
      <c r="F86" s="40">
        <f>B86*E86</f>
        <v/>
      </c>
      <c r="G86" s="40">
        <f>C86*E86</f>
        <v/>
      </c>
      <c r="H86" s="40">
        <f>D86*E86</f>
        <v/>
      </c>
      <c r="I86" s="41" t="n">
        <v>4.99</v>
      </c>
      <c r="J86" s="41">
        <f>B86*I86</f>
        <v/>
      </c>
      <c r="K86" s="41">
        <f>C86*I86</f>
        <v/>
      </c>
      <c r="L86" s="41">
        <f>D86*I86</f>
        <v/>
      </c>
      <c r="M86" s="6" t="n">
        <v>1.5</v>
      </c>
      <c r="N86" s="42">
        <f>B86*M86</f>
        <v/>
      </c>
      <c r="O86" s="42">
        <f>C86*M86</f>
        <v/>
      </c>
      <c r="P86" s="42">
        <f>D86*M86</f>
        <v/>
      </c>
      <c r="Q86" s="7" t="inlineStr">
        <is>
          <t>Buddy-pair shares pouch</t>
        </is>
      </c>
    </row>
    <row r="87">
      <c r="A87" s="43" t="inlineStr">
        <is>
          <t xml:space="preserve">  SNACKS Total</t>
        </is>
      </c>
      <c r="B87" s="44" t="n"/>
      <c r="C87" s="44" t="n"/>
      <c r="D87" s="44" t="n"/>
      <c r="E87" s="44" t="n"/>
      <c r="F87" s="45">
        <f>SUM(F83:F86)</f>
        <v/>
      </c>
      <c r="G87" s="45">
        <f>SUM(G83:G86)</f>
        <v/>
      </c>
      <c r="H87" s="45">
        <f>SUM(H83:H86)</f>
        <v/>
      </c>
      <c r="I87" s="43" t="n"/>
      <c r="J87" s="46">
        <f>SUM(J83:J86)</f>
        <v/>
      </c>
      <c r="K87" s="46">
        <f>SUM(K83:K86)</f>
        <v/>
      </c>
      <c r="L87" s="46">
        <f>SUM(L83:L86)</f>
        <v/>
      </c>
      <c r="M87" s="44" t="n"/>
      <c r="N87" s="47">
        <f>SUM(N83:N86)</f>
        <v/>
      </c>
      <c r="O87" s="47">
        <f>SUM(O83:O86)</f>
        <v/>
      </c>
      <c r="P87" s="47">
        <f>SUM(P83:P86)</f>
        <v/>
      </c>
      <c r="Q87" s="43" t="n"/>
    </row>
    <row r="88" ht="24" customHeight="1">
      <c r="A88" s="30" t="inlineStr">
        <is>
          <t xml:space="preserve">  Mon Jul 27 — LUNCH</t>
        </is>
      </c>
    </row>
    <row r="89" ht="30" customHeight="1">
      <c r="A89" s="31" t="inlineStr">
        <is>
          <t>Food Item</t>
        </is>
      </c>
      <c r="B89" s="31" t="inlineStr">
        <is>
          <t>Qty
(Scout 3)</t>
        </is>
      </c>
      <c r="C89" s="31" t="inlineStr">
        <is>
          <t>Qty
(Scout 4)</t>
        </is>
      </c>
      <c r="D89" s="31" t="inlineStr">
        <is>
          <t>Qty
(Adult 3)</t>
        </is>
      </c>
      <c r="E89" s="31" t="inlineStr">
        <is>
          <t>kcal/unit</t>
        </is>
      </c>
      <c r="F89" s="31" t="inlineStr">
        <is>
          <t>Scout 3
kcal</t>
        </is>
      </c>
      <c r="G89" s="31" t="inlineStr">
        <is>
          <t>Scout 4
kcal</t>
        </is>
      </c>
      <c r="H89" s="31" t="inlineStr">
        <is>
          <t>Adult 3
kcal</t>
        </is>
      </c>
      <c r="I89" s="31" t="inlineStr">
        <is>
          <t>$/unit</t>
        </is>
      </c>
      <c r="J89" s="31" t="inlineStr">
        <is>
          <t>Scout 3
$</t>
        </is>
      </c>
      <c r="K89" s="31" t="inlineStr">
        <is>
          <t>Scout 4
$</t>
        </is>
      </c>
      <c r="L89" s="31" t="inlineStr">
        <is>
          <t>Adult 3
$</t>
        </is>
      </c>
      <c r="M89" s="31" t="inlineStr">
        <is>
          <t>oz/unit</t>
        </is>
      </c>
      <c r="N89" s="31" t="inlineStr">
        <is>
          <t>Scout 3
oz</t>
        </is>
      </c>
      <c r="O89" s="31" t="inlineStr">
        <is>
          <t>Scout 4
oz</t>
        </is>
      </c>
      <c r="P89" s="31" t="inlineStr">
        <is>
          <t>Adult 3
oz</t>
        </is>
      </c>
      <c r="Q89" s="31" t="inlineStr">
        <is>
          <t>Notes</t>
        </is>
      </c>
    </row>
    <row r="90">
      <c r="A90" s="7" t="inlineStr">
        <is>
          <t>Columbus Hard Salami (sliced packet)</t>
        </is>
      </c>
      <c r="B90" s="6" t="n">
        <v>3</v>
      </c>
      <c r="C90" s="6" t="n">
        <v>4</v>
      </c>
      <c r="D90" s="6" t="n">
        <v>3</v>
      </c>
      <c r="E90" s="6" t="n">
        <v>110</v>
      </c>
      <c r="F90" s="40">
        <f>B90*E90</f>
        <v/>
      </c>
      <c r="G90" s="40">
        <f>C90*E90</f>
        <v/>
      </c>
      <c r="H90" s="40">
        <f>D90*E90</f>
        <v/>
      </c>
      <c r="I90" s="41" t="n">
        <v>2.99</v>
      </c>
      <c r="J90" s="41">
        <f>B90*I90</f>
        <v/>
      </c>
      <c r="K90" s="41">
        <f>C90*I90</f>
        <v/>
      </c>
      <c r="L90" s="41">
        <f>D90*I90</f>
        <v/>
      </c>
      <c r="M90" s="6" t="n">
        <v>2</v>
      </c>
      <c r="N90" s="42">
        <f>B90*M90</f>
        <v/>
      </c>
      <c r="O90" s="42">
        <f>C90*M90</f>
        <v/>
      </c>
      <c r="P90" s="42">
        <f>D90*M90</f>
        <v/>
      </c>
      <c r="Q90" s="7" t="inlineStr">
        <is>
          <t>Lunch; 1/person; nut-free</t>
        </is>
      </c>
    </row>
    <row r="91">
      <c r="A91" s="10" t="inlineStr">
        <is>
          <t>Wasa Crisp'n Light Crackerbread</t>
        </is>
      </c>
      <c r="B91" s="9" t="n">
        <v>3</v>
      </c>
      <c r="C91" s="9" t="n">
        <v>4</v>
      </c>
      <c r="D91" s="9" t="n">
        <v>3</v>
      </c>
      <c r="E91" s="9" t="n">
        <v>60</v>
      </c>
      <c r="F91" s="37">
        <f>B91*E91</f>
        <v/>
      </c>
      <c r="G91" s="37">
        <f>C91*E91</f>
        <v/>
      </c>
      <c r="H91" s="37">
        <f>D91*E91</f>
        <v/>
      </c>
      <c r="I91" s="38" t="n">
        <v>0.5</v>
      </c>
      <c r="J91" s="38">
        <f>B91*I91</f>
        <v/>
      </c>
      <c r="K91" s="38">
        <f>C91*I91</f>
        <v/>
      </c>
      <c r="L91" s="38">
        <f>D91*I91</f>
        <v/>
      </c>
      <c r="M91" s="9" t="n">
        <v>1</v>
      </c>
      <c r="N91" s="39">
        <f>B91*M91</f>
        <v/>
      </c>
      <c r="O91" s="39">
        <f>C91*M91</f>
        <v/>
      </c>
      <c r="P91" s="39">
        <f>D91*M91</f>
        <v/>
      </c>
      <c r="Q91" s="10" t="inlineStr">
        <is>
          <t>Lunch side</t>
        </is>
      </c>
    </row>
    <row r="92">
      <c r="A92" s="7" t="inlineStr">
        <is>
          <t>Mission Street Taco Flour Tortillas</t>
        </is>
      </c>
      <c r="B92" s="6" t="n">
        <v>6</v>
      </c>
      <c r="C92" s="6" t="n">
        <v>8</v>
      </c>
      <c r="D92" s="6" t="n">
        <v>6</v>
      </c>
      <c r="E92" s="6" t="n">
        <v>75</v>
      </c>
      <c r="F92" s="40">
        <f>B92*E92</f>
        <v/>
      </c>
      <c r="G92" s="40">
        <f>C92*E92</f>
        <v/>
      </c>
      <c r="H92" s="40">
        <f>D92*E92</f>
        <v/>
      </c>
      <c r="I92" s="41" t="n">
        <v>0.25</v>
      </c>
      <c r="J92" s="41">
        <f>B92*I92</f>
        <v/>
      </c>
      <c r="K92" s="41">
        <f>C92*I92</f>
        <v/>
      </c>
      <c r="L92" s="41">
        <f>D92*I92</f>
        <v/>
      </c>
      <c r="M92" s="6" t="n">
        <v>0.5</v>
      </c>
      <c r="N92" s="42">
        <f>B92*M92</f>
        <v/>
      </c>
      <c r="O92" s="42">
        <f>C92*M92</f>
        <v/>
      </c>
      <c r="P92" s="42">
        <f>D92*M92</f>
        <v/>
      </c>
      <c r="Q92" s="7" t="inlineStr">
        <is>
          <t>2/person; nut-free ✓</t>
        </is>
      </c>
    </row>
    <row r="93">
      <c r="A93" s="10" t="inlineStr">
        <is>
          <t>Tillamook Cheddar Cheese Packets</t>
        </is>
      </c>
      <c r="B93" s="9" t="n">
        <v>3</v>
      </c>
      <c r="C93" s="9" t="n">
        <v>4</v>
      </c>
      <c r="D93" s="9" t="n">
        <v>3</v>
      </c>
      <c r="E93" s="9" t="n">
        <v>90</v>
      </c>
      <c r="F93" s="37">
        <f>B93*E93</f>
        <v/>
      </c>
      <c r="G93" s="37">
        <f>C93*E93</f>
        <v/>
      </c>
      <c r="H93" s="37">
        <f>D93*E93</f>
        <v/>
      </c>
      <c r="I93" s="38" t="n">
        <v>0.75</v>
      </c>
      <c r="J93" s="38">
        <f>B93*I93</f>
        <v/>
      </c>
      <c r="K93" s="38">
        <f>C93*I93</f>
        <v/>
      </c>
      <c r="L93" s="38">
        <f>D93*I93</f>
        <v/>
      </c>
      <c r="M93" s="9" t="n">
        <v>0.7</v>
      </c>
      <c r="N93" s="39">
        <f>B93*M93</f>
        <v/>
      </c>
      <c r="O93" s="39">
        <f>C93*M93</f>
        <v/>
      </c>
      <c r="P93" s="39">
        <f>D93*M93</f>
        <v/>
      </c>
      <c r="Q93" s="10" t="inlineStr">
        <is>
          <t>1/person; nut-free ✓</t>
        </is>
      </c>
    </row>
    <row r="94">
      <c r="A94" s="32" t="inlineStr">
        <is>
          <t>Justin's Classic PB Squeeze Pack</t>
        </is>
      </c>
      <c r="B94" s="33" t="n">
        <v>3</v>
      </c>
      <c r="C94" s="33" t="n">
        <v>4</v>
      </c>
      <c r="D94" s="33" t="n">
        <v>3</v>
      </c>
      <c r="E94" s="33" t="n">
        <v>190</v>
      </c>
      <c r="F94" s="34">
        <f>B94*E94</f>
        <v/>
      </c>
      <c r="G94" s="34">
        <f>C94*E94</f>
        <v/>
      </c>
      <c r="H94" s="34">
        <f>D94*E94</f>
        <v/>
      </c>
      <c r="I94" s="35" t="n">
        <v>1.49</v>
      </c>
      <c r="J94" s="35">
        <f>B94*I94</f>
        <v/>
      </c>
      <c r="K94" s="35">
        <f>C94*I94</f>
        <v/>
      </c>
      <c r="L94" s="35">
        <f>D94*I94</f>
        <v/>
      </c>
      <c r="M94" s="33" t="n">
        <v>1.15</v>
      </c>
      <c r="N94" s="36">
        <f>B94*M94</f>
        <v/>
      </c>
      <c r="O94" s="36">
        <f>C94*M94</f>
        <v/>
      </c>
      <c r="P94" s="36">
        <f>D94*M94</f>
        <v/>
      </c>
      <c r="Q94" s="32" t="inlineStr">
        <is>
          <t>Lunch side; ⚠ NUT</t>
        </is>
      </c>
    </row>
    <row r="95">
      <c r="A95" s="43" t="inlineStr">
        <is>
          <t xml:space="preserve">  LUNCH Total</t>
        </is>
      </c>
      <c r="B95" s="44" t="n"/>
      <c r="C95" s="44" t="n"/>
      <c r="D95" s="44" t="n"/>
      <c r="E95" s="44" t="n"/>
      <c r="F95" s="45">
        <f>SUM(F90:F94)</f>
        <v/>
      </c>
      <c r="G95" s="45">
        <f>SUM(G90:G94)</f>
        <v/>
      </c>
      <c r="H95" s="45">
        <f>SUM(H90:H94)</f>
        <v/>
      </c>
      <c r="I95" s="43" t="n"/>
      <c r="J95" s="46">
        <f>SUM(J90:J94)</f>
        <v/>
      </c>
      <c r="K95" s="46">
        <f>SUM(K90:K94)</f>
        <v/>
      </c>
      <c r="L95" s="46">
        <f>SUM(L90:L94)</f>
        <v/>
      </c>
      <c r="M95" s="44" t="n"/>
      <c r="N95" s="47">
        <f>SUM(N90:N94)</f>
        <v/>
      </c>
      <c r="O95" s="47">
        <f>SUM(O90:O94)</f>
        <v/>
      </c>
      <c r="P95" s="47">
        <f>SUM(P90:P94)</f>
        <v/>
      </c>
      <c r="Q95" s="43" t="n"/>
    </row>
    <row r="96" ht="24" customHeight="1">
      <c r="A96" s="30" t="inlineStr">
        <is>
          <t xml:space="preserve">  Mon Jul 27 — DINNER</t>
        </is>
      </c>
    </row>
    <row r="97" ht="30" customHeight="1">
      <c r="A97" s="31" t="inlineStr">
        <is>
          <t>Food Item</t>
        </is>
      </c>
      <c r="B97" s="31" t="inlineStr">
        <is>
          <t>Qty
(Scout 3)</t>
        </is>
      </c>
      <c r="C97" s="31" t="inlineStr">
        <is>
          <t>Qty
(Scout 4)</t>
        </is>
      </c>
      <c r="D97" s="31" t="inlineStr">
        <is>
          <t>Qty
(Adult 3)</t>
        </is>
      </c>
      <c r="E97" s="31" t="inlineStr">
        <is>
          <t>kcal/unit</t>
        </is>
      </c>
      <c r="F97" s="31" t="inlineStr">
        <is>
          <t>Scout 3
kcal</t>
        </is>
      </c>
      <c r="G97" s="31" t="inlineStr">
        <is>
          <t>Scout 4
kcal</t>
        </is>
      </c>
      <c r="H97" s="31" t="inlineStr">
        <is>
          <t>Adult 3
kcal</t>
        </is>
      </c>
      <c r="I97" s="31" t="inlineStr">
        <is>
          <t>$/unit</t>
        </is>
      </c>
      <c r="J97" s="31" t="inlineStr">
        <is>
          <t>Scout 3
$</t>
        </is>
      </c>
      <c r="K97" s="31" t="inlineStr">
        <is>
          <t>Scout 4
$</t>
        </is>
      </c>
      <c r="L97" s="31" t="inlineStr">
        <is>
          <t>Adult 3
$</t>
        </is>
      </c>
      <c r="M97" s="31" t="inlineStr">
        <is>
          <t>oz/unit</t>
        </is>
      </c>
      <c r="N97" s="31" t="inlineStr">
        <is>
          <t>Scout 3
oz</t>
        </is>
      </c>
      <c r="O97" s="31" t="inlineStr">
        <is>
          <t>Scout 4
oz</t>
        </is>
      </c>
      <c r="P97" s="31" t="inlineStr">
        <is>
          <t>Adult 3
oz</t>
        </is>
      </c>
      <c r="Q97" s="31" t="inlineStr">
        <is>
          <t>Notes</t>
        </is>
      </c>
    </row>
    <row r="98">
      <c r="A98" s="7" t="inlineStr">
        <is>
          <t>Peak Refuel – Beef Pasta Marinara</t>
        </is>
      </c>
      <c r="B98" s="6" t="n">
        <v>2</v>
      </c>
      <c r="C98" s="6" t="n">
        <v>3</v>
      </c>
      <c r="D98" s="6" t="n">
        <v>3</v>
      </c>
      <c r="E98" s="6" t="n">
        <v>780</v>
      </c>
      <c r="F98" s="40">
        <f>B98*E98</f>
        <v/>
      </c>
      <c r="G98" s="40">
        <f>C98*E98</f>
        <v/>
      </c>
      <c r="H98" s="40">
        <f>D98*E98</f>
        <v/>
      </c>
      <c r="I98" s="41" t="n">
        <v>7.49</v>
      </c>
      <c r="J98" s="41">
        <f>B98*I98</f>
        <v/>
      </c>
      <c r="K98" s="41">
        <f>C98*I98</f>
        <v/>
      </c>
      <c r="L98" s="41">
        <f>D98*I98</f>
        <v/>
      </c>
      <c r="M98" s="6" t="n">
        <v>3.2</v>
      </c>
      <c r="N98" s="42">
        <f>B98*M98</f>
        <v/>
      </c>
      <c r="O98" s="42">
        <f>C98*M98</f>
        <v/>
      </c>
      <c r="P98" s="42">
        <f>D98*M98</f>
        <v/>
      </c>
      <c r="Q98" s="7" t="inlineStr">
        <is>
          <t>Mon dinner (1.5 svgs/pouch)</t>
        </is>
      </c>
    </row>
    <row r="99">
      <c r="A99" s="10" t="inlineStr">
        <is>
          <t>Mission Street Taco Flour Tortillas</t>
        </is>
      </c>
      <c r="B99" s="9" t="n">
        <v>6</v>
      </c>
      <c r="C99" s="9" t="n">
        <v>8</v>
      </c>
      <c r="D99" s="9" t="n">
        <v>6</v>
      </c>
      <c r="E99" s="9" t="n">
        <v>75</v>
      </c>
      <c r="F99" s="37">
        <f>B99*E99</f>
        <v/>
      </c>
      <c r="G99" s="37">
        <f>C99*E99</f>
        <v/>
      </c>
      <c r="H99" s="37">
        <f>D99*E99</f>
        <v/>
      </c>
      <c r="I99" s="38" t="n">
        <v>0.25</v>
      </c>
      <c r="J99" s="38">
        <f>B99*I99</f>
        <v/>
      </c>
      <c r="K99" s="38">
        <f>C99*I99</f>
        <v/>
      </c>
      <c r="L99" s="38">
        <f>D99*I99</f>
        <v/>
      </c>
      <c r="M99" s="9" t="n">
        <v>0.5</v>
      </c>
      <c r="N99" s="39">
        <f>B99*M99</f>
        <v/>
      </c>
      <c r="O99" s="39">
        <f>C99*M99</f>
        <v/>
      </c>
      <c r="P99" s="39">
        <f>D99*M99</f>
        <v/>
      </c>
      <c r="Q99" s="10" t="inlineStr">
        <is>
          <t>2/person; nut-free ✓</t>
        </is>
      </c>
    </row>
    <row r="100">
      <c r="A100" s="7" t="inlineStr">
        <is>
          <t>Tillamook Cheddar Cheese Packets</t>
        </is>
      </c>
      <c r="B100" s="6" t="n">
        <v>6</v>
      </c>
      <c r="C100" s="6" t="n">
        <v>8</v>
      </c>
      <c r="D100" s="6" t="n">
        <v>6</v>
      </c>
      <c r="E100" s="6" t="n">
        <v>90</v>
      </c>
      <c r="F100" s="40">
        <f>B100*E100</f>
        <v/>
      </c>
      <c r="G100" s="40">
        <f>C100*E100</f>
        <v/>
      </c>
      <c r="H100" s="40">
        <f>D100*E100</f>
        <v/>
      </c>
      <c r="I100" s="41" t="n">
        <v>0.75</v>
      </c>
      <c r="J100" s="41">
        <f>B100*I100</f>
        <v/>
      </c>
      <c r="K100" s="41">
        <f>C100*I100</f>
        <v/>
      </c>
      <c r="L100" s="41">
        <f>D100*I100</f>
        <v/>
      </c>
      <c r="M100" s="6" t="n">
        <v>0.7</v>
      </c>
      <c r="N100" s="42">
        <f>B100*M100</f>
        <v/>
      </c>
      <c r="O100" s="42">
        <f>C100*M100</f>
        <v/>
      </c>
      <c r="P100" s="42">
        <f>D100*M100</f>
        <v/>
      </c>
      <c r="Q100" s="7" t="inlineStr">
        <is>
          <t>2/person; nut-free ✓</t>
        </is>
      </c>
    </row>
    <row r="101">
      <c r="A101" s="10" t="inlineStr">
        <is>
          <t>Swiss Miss Hot Chocolate</t>
        </is>
      </c>
      <c r="B101" s="9" t="n">
        <v>6</v>
      </c>
      <c r="C101" s="9" t="n">
        <v>8</v>
      </c>
      <c r="D101" s="9" t="n">
        <v>0</v>
      </c>
      <c r="E101" s="9" t="n">
        <v>90</v>
      </c>
      <c r="F101" s="37">
        <f>B101*E101</f>
        <v/>
      </c>
      <c r="G101" s="37">
        <f>C101*E101</f>
        <v/>
      </c>
      <c r="H101" s="37">
        <f>D101*E101</f>
        <v/>
      </c>
      <c r="I101" s="38" t="n">
        <v>0.38</v>
      </c>
      <c r="J101" s="38">
        <f>B101*I101</f>
        <v/>
      </c>
      <c r="K101" s="38">
        <f>C101*I101</f>
        <v/>
      </c>
      <c r="L101" s="38">
        <f>D101*I101</f>
        <v/>
      </c>
      <c r="M101" s="9" t="n">
        <v>0.73</v>
      </c>
      <c r="N101" s="39">
        <f>B101*M101</f>
        <v/>
      </c>
      <c r="O101" s="39">
        <f>C101*M101</f>
        <v/>
      </c>
      <c r="P101" s="39">
        <f>D101*M101</f>
        <v/>
      </c>
      <c r="Q101" s="10" t="inlineStr">
        <is>
          <t>Scouts only (2 packets/person)</t>
        </is>
      </c>
    </row>
    <row r="102">
      <c r="A102" s="43" t="inlineStr">
        <is>
          <t xml:space="preserve">  DINNER Total</t>
        </is>
      </c>
      <c r="B102" s="44" t="n"/>
      <c r="C102" s="44" t="n"/>
      <c r="D102" s="44" t="n"/>
      <c r="E102" s="44" t="n"/>
      <c r="F102" s="45">
        <f>SUM(F98:F101)</f>
        <v/>
      </c>
      <c r="G102" s="45">
        <f>SUM(G98:G101)</f>
        <v/>
      </c>
      <c r="H102" s="45">
        <f>SUM(H98:H101)</f>
        <v/>
      </c>
      <c r="I102" s="43" t="n"/>
      <c r="J102" s="46">
        <f>SUM(J98:J101)</f>
        <v/>
      </c>
      <c r="K102" s="46">
        <f>SUM(K98:K101)</f>
        <v/>
      </c>
      <c r="L102" s="46">
        <f>SUM(L98:L101)</f>
        <v/>
      </c>
      <c r="M102" s="44" t="n"/>
      <c r="N102" s="47">
        <f>SUM(N98:N101)</f>
        <v/>
      </c>
      <c r="O102" s="47">
        <f>SUM(O98:O101)</f>
        <v/>
      </c>
      <c r="P102" s="47">
        <f>SUM(P98:P101)</f>
        <v/>
      </c>
      <c r="Q102" s="43" t="n"/>
    </row>
    <row r="103" ht="24" customHeight="1">
      <c r="A103" s="30" t="inlineStr">
        <is>
          <t xml:space="preserve">  Mon Jul 27 — DESSERT</t>
        </is>
      </c>
    </row>
    <row r="104" ht="30" customHeight="1">
      <c r="A104" s="31" t="inlineStr">
        <is>
          <t>Food Item</t>
        </is>
      </c>
      <c r="B104" s="31" t="inlineStr">
        <is>
          <t>Qty
(Scout 3)</t>
        </is>
      </c>
      <c r="C104" s="31" t="inlineStr">
        <is>
          <t>Qty
(Scout 4)</t>
        </is>
      </c>
      <c r="D104" s="31" t="inlineStr">
        <is>
          <t>Qty
(Adult 3)</t>
        </is>
      </c>
      <c r="E104" s="31" t="inlineStr">
        <is>
          <t>kcal/unit</t>
        </is>
      </c>
      <c r="F104" s="31" t="inlineStr">
        <is>
          <t>Scout 3
kcal</t>
        </is>
      </c>
      <c r="G104" s="31" t="inlineStr">
        <is>
          <t>Scout 4
kcal</t>
        </is>
      </c>
      <c r="H104" s="31" t="inlineStr">
        <is>
          <t>Adult 3
kcal</t>
        </is>
      </c>
      <c r="I104" s="31" t="inlineStr">
        <is>
          <t>$/unit</t>
        </is>
      </c>
      <c r="J104" s="31" t="inlineStr">
        <is>
          <t>Scout 3
$</t>
        </is>
      </c>
      <c r="K104" s="31" t="inlineStr">
        <is>
          <t>Scout 4
$</t>
        </is>
      </c>
      <c r="L104" s="31" t="inlineStr">
        <is>
          <t>Adult 3
$</t>
        </is>
      </c>
      <c r="M104" s="31" t="inlineStr">
        <is>
          <t>oz/unit</t>
        </is>
      </c>
      <c r="N104" s="31" t="inlineStr">
        <is>
          <t>Scout 3
oz</t>
        </is>
      </c>
      <c r="O104" s="31" t="inlineStr">
        <is>
          <t>Scout 4
oz</t>
        </is>
      </c>
      <c r="P104" s="31" t="inlineStr">
        <is>
          <t>Adult 3
oz</t>
        </is>
      </c>
      <c r="Q104" s="31" t="inlineStr">
        <is>
          <t>Notes</t>
        </is>
      </c>
    </row>
    <row r="105">
      <c r="A105" s="10" t="inlineStr">
        <is>
          <t>Backpacker's Pantry – Crème Brûlée</t>
        </is>
      </c>
      <c r="B105" s="9" t="n">
        <v>2</v>
      </c>
      <c r="C105" s="9" t="n">
        <v>2</v>
      </c>
      <c r="D105" s="9" t="n">
        <v>2</v>
      </c>
      <c r="E105" s="9" t="n">
        <v>620</v>
      </c>
      <c r="F105" s="37">
        <f>B105*E105</f>
        <v/>
      </c>
      <c r="G105" s="37">
        <f>C105*E105</f>
        <v/>
      </c>
      <c r="H105" s="37">
        <f>D105*E105</f>
        <v/>
      </c>
      <c r="I105" s="38" t="n">
        <v>8.99</v>
      </c>
      <c r="J105" s="38">
        <f>B105*I105</f>
        <v/>
      </c>
      <c r="K105" s="38">
        <f>C105*I105</f>
        <v/>
      </c>
      <c r="L105" s="38">
        <f>D105*I105</f>
        <v/>
      </c>
      <c r="M105" s="9" t="n">
        <v>2.26</v>
      </c>
      <c r="N105" s="39">
        <f>B105*M105</f>
        <v/>
      </c>
      <c r="O105" s="39">
        <f>C105*M105</f>
        <v/>
      </c>
      <c r="P105" s="39">
        <f>D105*M105</f>
        <v/>
      </c>
      <c r="Q105" s="10" t="inlineStr">
        <is>
          <t>Buddy-pair shares pouch</t>
        </is>
      </c>
    </row>
    <row r="106">
      <c r="A106" s="7" t="inlineStr">
        <is>
          <t>Swiss Miss Hot Chocolate</t>
        </is>
      </c>
      <c r="B106" s="6" t="n">
        <v>6</v>
      </c>
      <c r="C106" s="6" t="n">
        <v>8</v>
      </c>
      <c r="D106" s="6" t="n">
        <v>0</v>
      </c>
      <c r="E106" s="6" t="n">
        <v>90</v>
      </c>
      <c r="F106" s="40">
        <f>B106*E106</f>
        <v/>
      </c>
      <c r="G106" s="40">
        <f>C106*E106</f>
        <v/>
      </c>
      <c r="H106" s="40">
        <f>D106*E106</f>
        <v/>
      </c>
      <c r="I106" s="41" t="n">
        <v>0.38</v>
      </c>
      <c r="J106" s="41">
        <f>B106*I106</f>
        <v/>
      </c>
      <c r="K106" s="41">
        <f>C106*I106</f>
        <v/>
      </c>
      <c r="L106" s="41">
        <f>D106*I106</f>
        <v/>
      </c>
      <c r="M106" s="6" t="n">
        <v>0.73</v>
      </c>
      <c r="N106" s="42">
        <f>B106*M106</f>
        <v/>
      </c>
      <c r="O106" s="42">
        <f>C106*M106</f>
        <v/>
      </c>
      <c r="P106" s="42">
        <f>D106*M106</f>
        <v/>
      </c>
      <c r="Q106" s="7" t="inlineStr">
        <is>
          <t>Scouts only (2 packets/person)</t>
        </is>
      </c>
    </row>
    <row r="107">
      <c r="A107" s="43" t="inlineStr">
        <is>
          <t xml:space="preserve">  DESSERT Total</t>
        </is>
      </c>
      <c r="B107" s="44" t="n"/>
      <c r="C107" s="44" t="n"/>
      <c r="D107" s="44" t="n"/>
      <c r="E107" s="44" t="n"/>
      <c r="F107" s="45">
        <f>SUM(F105:F106)</f>
        <v/>
      </c>
      <c r="G107" s="45">
        <f>SUM(G105:G106)</f>
        <v/>
      </c>
      <c r="H107" s="45">
        <f>SUM(H105:H106)</f>
        <v/>
      </c>
      <c r="I107" s="43" t="n"/>
      <c r="J107" s="46">
        <f>SUM(J105:J106)</f>
        <v/>
      </c>
      <c r="K107" s="46">
        <f>SUM(K105:K106)</f>
        <v/>
      </c>
      <c r="L107" s="46">
        <f>SUM(L105:L106)</f>
        <v/>
      </c>
      <c r="M107" s="44" t="n"/>
      <c r="N107" s="47">
        <f>SUM(N105:N106)</f>
        <v/>
      </c>
      <c r="O107" s="47">
        <f>SUM(O105:O106)</f>
        <v/>
      </c>
      <c r="P107" s="47">
        <f>SUM(P105:P106)</f>
        <v/>
      </c>
      <c r="Q107" s="43" t="n"/>
    </row>
    <row r="108">
      <c r="A108" s="48" t="inlineStr">
        <is>
          <t>DAY 3 (Mon Jul 27) TOTAL</t>
        </is>
      </c>
      <c r="B108" s="48" t="n"/>
      <c r="C108" s="48" t="n"/>
      <c r="D108" s="48" t="n"/>
      <c r="E108" s="48" t="n"/>
      <c r="F108" s="49">
        <f>SUM(F80,F87,F95,F102,F107)</f>
        <v/>
      </c>
      <c r="G108" s="49">
        <f>SUM(G80,G87,G95,G102,G107)</f>
        <v/>
      </c>
      <c r="H108" s="49">
        <f>SUM(H80,H87,H95,H102,H107)</f>
        <v/>
      </c>
      <c r="I108" s="48" t="n"/>
      <c r="J108" s="50">
        <f>SUM(J80,J87,J95,J102,J107)</f>
        <v/>
      </c>
      <c r="K108" s="50">
        <f>SUM(K80,K87,K95,K102,K107)</f>
        <v/>
      </c>
      <c r="L108" s="50">
        <f>SUM(L80,L87,L95,L102,L107)</f>
        <v/>
      </c>
      <c r="M108" s="48" t="n"/>
      <c r="N108" s="51">
        <f>SUM(N80,N87,N95,N102,N107)</f>
        <v/>
      </c>
      <c r="O108" s="51">
        <f>SUM(O80,O87,O95,O102,O107)</f>
        <v/>
      </c>
      <c r="P108" s="51">
        <f>SUM(P80,P87,P95,P102,P107)</f>
        <v/>
      </c>
      <c r="Q108" s="48" t="n"/>
    </row>
    <row r="109"/>
    <row r="110">
      <c r="A110" s="57" t="inlineStr">
        <is>
          <t>PHASE 1 SUB-TOTAL (per bear can)</t>
        </is>
      </c>
      <c r="B110" s="57" t="n"/>
      <c r="C110" s="57" t="n"/>
      <c r="D110" s="57" t="n"/>
      <c r="E110" s="57" t="n"/>
      <c r="F110" s="58">
        <f>SUM(F31,F72,F108)</f>
        <v/>
      </c>
      <c r="G110" s="58">
        <f>SUM(G31,G72,G108)</f>
        <v/>
      </c>
      <c r="H110" s="58">
        <f>SUM(H31,H72,H108)</f>
        <v/>
      </c>
      <c r="I110" s="57" t="n"/>
      <c r="J110" s="59">
        <f>SUM(J31,J72,J108)</f>
        <v/>
      </c>
      <c r="K110" s="59">
        <f>SUM(K31,K72,K108)</f>
        <v/>
      </c>
      <c r="L110" s="59">
        <f>SUM(L31,L72,L108)</f>
        <v/>
      </c>
      <c r="M110" s="57" t="n"/>
      <c r="N110" s="60">
        <f>SUM(N31,N72,N108)</f>
        <v/>
      </c>
      <c r="O110" s="60">
        <f>SUM(O31,O72,O108)</f>
        <v/>
      </c>
      <c r="P110" s="60">
        <f>SUM(P31,P72,P108)</f>
        <v/>
      </c>
      <c r="Q110" s="57" t="n"/>
    </row>
    <row r="111"/>
    <row r="112"/>
    <row r="113" ht="24" customHeight="1">
      <c r="A113" s="27" t="inlineStr">
        <is>
          <t>PHASE 2 — MULE DROP (DAYS 4–6)</t>
        </is>
      </c>
    </row>
    <row r="114" ht="24" customHeight="1">
      <c r="A114" s="28" t="inlineStr">
        <is>
          <t>TUE JUL 28 — DAY 4 DETAILS</t>
        </is>
      </c>
    </row>
    <row r="115" ht="24" customHeight="1">
      <c r="A115" s="30" t="inlineStr">
        <is>
          <t xml:space="preserve">  Tue Jul 28 — BREAKFAST</t>
        </is>
      </c>
    </row>
    <row r="116" ht="30" customHeight="1">
      <c r="A116" s="31" t="inlineStr">
        <is>
          <t>Food Item</t>
        </is>
      </c>
      <c r="B116" s="31" t="inlineStr">
        <is>
          <t>Qty
(Scout 3)</t>
        </is>
      </c>
      <c r="C116" s="31" t="inlineStr">
        <is>
          <t>Qty
(Scout 4)</t>
        </is>
      </c>
      <c r="D116" s="31" t="inlineStr">
        <is>
          <t>Qty
(Adult 3)</t>
        </is>
      </c>
      <c r="E116" s="31" t="inlineStr">
        <is>
          <t>kcal/unit</t>
        </is>
      </c>
      <c r="F116" s="31" t="inlineStr">
        <is>
          <t>Scout 3
kcal</t>
        </is>
      </c>
      <c r="G116" s="31" t="inlineStr">
        <is>
          <t>Scout 4
kcal</t>
        </is>
      </c>
      <c r="H116" s="31" t="inlineStr">
        <is>
          <t>Adult 3
kcal</t>
        </is>
      </c>
      <c r="I116" s="31" t="inlineStr">
        <is>
          <t>$/unit</t>
        </is>
      </c>
      <c r="J116" s="31" t="inlineStr">
        <is>
          <t>Scout 3
$</t>
        </is>
      </c>
      <c r="K116" s="31" t="inlineStr">
        <is>
          <t>Scout 4
$</t>
        </is>
      </c>
      <c r="L116" s="31" t="inlineStr">
        <is>
          <t>Adult 3
$</t>
        </is>
      </c>
      <c r="M116" s="31" t="inlineStr">
        <is>
          <t>oz/unit</t>
        </is>
      </c>
      <c r="N116" s="31" t="inlineStr">
        <is>
          <t>Scout 3
oz</t>
        </is>
      </c>
      <c r="O116" s="31" t="inlineStr">
        <is>
          <t>Scout 4
oz</t>
        </is>
      </c>
      <c r="P116" s="31" t="inlineStr">
        <is>
          <t>Adult 3
oz</t>
        </is>
      </c>
      <c r="Q116" s="31" t="inlineStr">
        <is>
          <t>Notes</t>
        </is>
      </c>
    </row>
    <row r="117">
      <c r="A117" s="32" t="inlineStr">
        <is>
          <t>MET-Rx Big100 – Super Cookie Crunch</t>
        </is>
      </c>
      <c r="B117" s="33" t="n">
        <v>3</v>
      </c>
      <c r="C117" s="33" t="n">
        <v>4</v>
      </c>
      <c r="D117" s="33" t="n">
        <v>3</v>
      </c>
      <c r="E117" s="33" t="n">
        <v>410</v>
      </c>
      <c r="F117" s="34">
        <f>B117*E117</f>
        <v/>
      </c>
      <c r="G117" s="34">
        <f>C117*E117</f>
        <v/>
      </c>
      <c r="H117" s="34">
        <f>D117*E117</f>
        <v/>
      </c>
      <c r="I117" s="35" t="n">
        <v>2.19</v>
      </c>
      <c r="J117" s="35">
        <f>B117*I117</f>
        <v/>
      </c>
      <c r="K117" s="35">
        <f>C117*I117</f>
        <v/>
      </c>
      <c r="L117" s="35">
        <f>D117*I117</f>
        <v/>
      </c>
      <c r="M117" s="33" t="n">
        <v>3.53</v>
      </c>
      <c r="N117" s="36">
        <f>B117*M117</f>
        <v/>
      </c>
      <c r="O117" s="36">
        <f>C117*M117</f>
        <v/>
      </c>
      <c r="P117" s="36">
        <f>D117*M117</f>
        <v/>
      </c>
      <c r="Q117" s="32" t="inlineStr">
        <is>
          <t>Bkfst · ⚠ NUT</t>
        </is>
      </c>
    </row>
    <row r="118">
      <c r="A118" s="7" t="inlineStr">
        <is>
          <t>Swiss Miss Hot Chocolate</t>
        </is>
      </c>
      <c r="B118" s="6" t="n">
        <v>6</v>
      </c>
      <c r="C118" s="6" t="n">
        <v>8</v>
      </c>
      <c r="D118" s="6" t="n">
        <v>0</v>
      </c>
      <c r="E118" s="6" t="n">
        <v>90</v>
      </c>
      <c r="F118" s="40">
        <f>B118*E118</f>
        <v/>
      </c>
      <c r="G118" s="40">
        <f>C118*E118</f>
        <v/>
      </c>
      <c r="H118" s="40">
        <f>D118*E118</f>
        <v/>
      </c>
      <c r="I118" s="41" t="n">
        <v>0.38</v>
      </c>
      <c r="J118" s="41">
        <f>B118*I118</f>
        <v/>
      </c>
      <c r="K118" s="41">
        <f>C118*I118</f>
        <v/>
      </c>
      <c r="L118" s="41">
        <f>D118*I118</f>
        <v/>
      </c>
      <c r="M118" s="6" t="n">
        <v>0.73</v>
      </c>
      <c r="N118" s="42">
        <f>B118*M118</f>
        <v/>
      </c>
      <c r="O118" s="42">
        <f>C118*M118</f>
        <v/>
      </c>
      <c r="P118" s="42">
        <f>D118*M118</f>
        <v/>
      </c>
      <c r="Q118" s="7" t="inlineStr">
        <is>
          <t>Scouts only (2 packets/person)</t>
        </is>
      </c>
    </row>
    <row r="119">
      <c r="A119" s="52" t="inlineStr">
        <is>
          <t>Adults: own coffee / tea</t>
        </is>
      </c>
      <c r="B119" s="53" t="n">
        <v>0</v>
      </c>
      <c r="C119" s="53" t="n">
        <v>0</v>
      </c>
      <c r="D119" s="53" t="n">
        <v>3</v>
      </c>
      <c r="E119" s="53" t="n">
        <v>0</v>
      </c>
      <c r="F119" s="54">
        <f>B119*E119</f>
        <v/>
      </c>
      <c r="G119" s="54">
        <f>C119*E119</f>
        <v/>
      </c>
      <c r="H119" s="54">
        <f>D119*E119</f>
        <v/>
      </c>
      <c r="I119" s="55" t="n">
        <v>0</v>
      </c>
      <c r="J119" s="55">
        <f>B119*I119</f>
        <v/>
      </c>
      <c r="K119" s="55">
        <f>C119*I119</f>
        <v/>
      </c>
      <c r="L119" s="55">
        <f>D119*I119</f>
        <v/>
      </c>
      <c r="M119" s="53" t="n">
        <v>0</v>
      </c>
      <c r="N119" s="56">
        <f>B119*M119</f>
        <v/>
      </c>
      <c r="O119" s="56">
        <f>C119*M119</f>
        <v/>
      </c>
      <c r="P119" s="56">
        <f>D119*M119</f>
        <v/>
      </c>
      <c r="Q119" s="52" t="inlineStr">
        <is>
          <t>Adults only ★</t>
        </is>
      </c>
    </row>
    <row r="120">
      <c r="A120" s="43" t="inlineStr">
        <is>
          <t xml:space="preserve">  BREAKFAST Total</t>
        </is>
      </c>
      <c r="B120" s="44" t="n"/>
      <c r="C120" s="44" t="n"/>
      <c r="D120" s="44" t="n"/>
      <c r="E120" s="44" t="n"/>
      <c r="F120" s="45">
        <f>SUM(F117:F119)</f>
        <v/>
      </c>
      <c r="G120" s="45">
        <f>SUM(G117:G119)</f>
        <v/>
      </c>
      <c r="H120" s="45">
        <f>SUM(H117:H119)</f>
        <v/>
      </c>
      <c r="I120" s="43" t="n"/>
      <c r="J120" s="46">
        <f>SUM(J117:J119)</f>
        <v/>
      </c>
      <c r="K120" s="46">
        <f>SUM(K117:K119)</f>
        <v/>
      </c>
      <c r="L120" s="46">
        <f>SUM(L117:L119)</f>
        <v/>
      </c>
      <c r="M120" s="44" t="n"/>
      <c r="N120" s="47">
        <f>SUM(N117:N119)</f>
        <v/>
      </c>
      <c r="O120" s="47">
        <f>SUM(O117:O119)</f>
        <v/>
      </c>
      <c r="P120" s="47">
        <f>SUM(P117:P119)</f>
        <v/>
      </c>
      <c r="Q120" s="43" t="n"/>
    </row>
    <row r="121" ht="24" customHeight="1">
      <c r="A121" s="30" t="inlineStr">
        <is>
          <t xml:space="preserve">  Tue Jul 28 — SNACKS</t>
        </is>
      </c>
    </row>
    <row r="122" ht="30" customHeight="1">
      <c r="A122" s="31" t="inlineStr">
        <is>
          <t>Food Item</t>
        </is>
      </c>
      <c r="B122" s="31" t="inlineStr">
        <is>
          <t>Qty
(Scout 3)</t>
        </is>
      </c>
      <c r="C122" s="31" t="inlineStr">
        <is>
          <t>Qty
(Scout 4)</t>
        </is>
      </c>
      <c r="D122" s="31" t="inlineStr">
        <is>
          <t>Qty
(Adult 3)</t>
        </is>
      </c>
      <c r="E122" s="31" t="inlineStr">
        <is>
          <t>kcal/unit</t>
        </is>
      </c>
      <c r="F122" s="31" t="inlineStr">
        <is>
          <t>Scout 3
kcal</t>
        </is>
      </c>
      <c r="G122" s="31" t="inlineStr">
        <is>
          <t>Scout 4
kcal</t>
        </is>
      </c>
      <c r="H122" s="31" t="inlineStr">
        <is>
          <t>Adult 3
kcal</t>
        </is>
      </c>
      <c r="I122" s="31" t="inlineStr">
        <is>
          <t>$/unit</t>
        </is>
      </c>
      <c r="J122" s="31" t="inlineStr">
        <is>
          <t>Scout 3
$</t>
        </is>
      </c>
      <c r="K122" s="31" t="inlineStr">
        <is>
          <t>Scout 4
$</t>
        </is>
      </c>
      <c r="L122" s="31" t="inlineStr">
        <is>
          <t>Adult 3
$</t>
        </is>
      </c>
      <c r="M122" s="31" t="inlineStr">
        <is>
          <t>oz/unit</t>
        </is>
      </c>
      <c r="N122" s="31" t="inlineStr">
        <is>
          <t>Scout 3
oz</t>
        </is>
      </c>
      <c r="O122" s="31" t="inlineStr">
        <is>
          <t>Scout 4
oz</t>
        </is>
      </c>
      <c r="P122" s="31" t="inlineStr">
        <is>
          <t>Adult 3
oz</t>
        </is>
      </c>
      <c r="Q122" s="31" t="inlineStr">
        <is>
          <t>Notes</t>
        </is>
      </c>
    </row>
    <row r="123">
      <c r="A123" s="10" t="inlineStr">
        <is>
          <t>Krave Sea Salt Original Beef Jerky</t>
        </is>
      </c>
      <c r="B123" s="9" t="n">
        <v>3</v>
      </c>
      <c r="C123" s="9" t="n">
        <v>4</v>
      </c>
      <c r="D123" s="9" t="n">
        <v>3</v>
      </c>
      <c r="E123" s="9" t="n">
        <v>140</v>
      </c>
      <c r="F123" s="37">
        <f>B123*E123</f>
        <v/>
      </c>
      <c r="G123" s="37">
        <f>C123*E123</f>
        <v/>
      </c>
      <c r="H123" s="37">
        <f>D123*E123</f>
        <v/>
      </c>
      <c r="I123" s="38" t="n">
        <v>2.19</v>
      </c>
      <c r="J123" s="38">
        <f>B123*I123</f>
        <v/>
      </c>
      <c r="K123" s="38">
        <f>C123*I123</f>
        <v/>
      </c>
      <c r="L123" s="38">
        <f>D123*I123</f>
        <v/>
      </c>
      <c r="M123" s="9" t="n">
        <v>1.48</v>
      </c>
      <c r="N123" s="39">
        <f>B123*M123</f>
        <v/>
      </c>
      <c r="O123" s="39">
        <f>C123*M123</f>
        <v/>
      </c>
      <c r="P123" s="39">
        <f>D123*M123</f>
        <v/>
      </c>
      <c r="Q123" s="10" t="inlineStr">
        <is>
          <t>Safe for nut allergy ✓</t>
        </is>
      </c>
    </row>
    <row r="124">
      <c r="A124" s="32" t="inlineStr">
        <is>
          <t>Kind – Dark Choc Nuts &amp; Sea Salt Bar</t>
        </is>
      </c>
      <c r="B124" s="33" t="n">
        <v>3</v>
      </c>
      <c r="C124" s="33" t="n">
        <v>4</v>
      </c>
      <c r="D124" s="33" t="n">
        <v>3</v>
      </c>
      <c r="E124" s="33" t="n">
        <v>200</v>
      </c>
      <c r="F124" s="34">
        <f>B124*E124</f>
        <v/>
      </c>
      <c r="G124" s="34">
        <f>C124*E124</f>
        <v/>
      </c>
      <c r="H124" s="34">
        <f>D124*E124</f>
        <v/>
      </c>
      <c r="I124" s="35" t="n">
        <v>1.04</v>
      </c>
      <c r="J124" s="35">
        <f>B124*I124</f>
        <v/>
      </c>
      <c r="K124" s="35">
        <f>C124*I124</f>
        <v/>
      </c>
      <c r="L124" s="35">
        <f>D124*I124</f>
        <v/>
      </c>
      <c r="M124" s="33" t="n">
        <v>1.4</v>
      </c>
      <c r="N124" s="36">
        <f>B124*M124</f>
        <v/>
      </c>
      <c r="O124" s="36">
        <f>C124*M124</f>
        <v/>
      </c>
      <c r="P124" s="36">
        <f>D124*M124</f>
        <v/>
      </c>
      <c r="Q124" s="32" t="inlineStr">
        <is>
          <t>⚠ NUT: swap → 88 Acres bar</t>
        </is>
      </c>
    </row>
    <row r="125">
      <c r="A125" s="10" t="inlineStr">
        <is>
          <t>Gatorade Powder Pack</t>
        </is>
      </c>
      <c r="B125" s="9" t="n">
        <v>6</v>
      </c>
      <c r="C125" s="9" t="n">
        <v>8</v>
      </c>
      <c r="D125" s="9" t="n">
        <v>6</v>
      </c>
      <c r="E125" s="9" t="n">
        <v>130</v>
      </c>
      <c r="F125" s="37">
        <f>B125*E125</f>
        <v/>
      </c>
      <c r="G125" s="37">
        <f>C125*E125</f>
        <v/>
      </c>
      <c r="H125" s="37">
        <f>D125*E125</f>
        <v/>
      </c>
      <c r="I125" s="38" t="n">
        <v>0.38</v>
      </c>
      <c r="J125" s="38">
        <f>B125*I125</f>
        <v/>
      </c>
      <c r="K125" s="38">
        <f>C125*I125</f>
        <v/>
      </c>
      <c r="L125" s="38">
        <f>D125*I125</f>
        <v/>
      </c>
      <c r="M125" s="9" t="n">
        <v>1.23</v>
      </c>
      <c r="N125" s="39">
        <f>B125*M125</f>
        <v/>
      </c>
      <c r="O125" s="39">
        <f>C125*M125</f>
        <v/>
      </c>
      <c r="P125" s="39">
        <f>D125*M125</f>
        <v/>
      </c>
      <c r="Q125" s="10" t="inlineStr">
        <is>
          <t>×2/person; climb day</t>
        </is>
      </c>
    </row>
    <row r="126">
      <c r="A126" s="7" t="inlineStr">
        <is>
          <t>Banana Chips (1 oz)</t>
        </is>
      </c>
      <c r="B126" s="6" t="n">
        <v>3</v>
      </c>
      <c r="C126" s="6" t="n">
        <v>4</v>
      </c>
      <c r="D126" s="6" t="n">
        <v>3</v>
      </c>
      <c r="E126" s="6" t="n">
        <v>100</v>
      </c>
      <c r="F126" s="40">
        <f>B126*E126</f>
        <v/>
      </c>
      <c r="G126" s="40">
        <f>C126*E126</f>
        <v/>
      </c>
      <c r="H126" s="40">
        <f>D126*E126</f>
        <v/>
      </c>
      <c r="I126" s="41" t="n">
        <v>0.45</v>
      </c>
      <c r="J126" s="41">
        <f>B126*I126</f>
        <v/>
      </c>
      <c r="K126" s="41">
        <f>C126*I126</f>
        <v/>
      </c>
      <c r="L126" s="41">
        <f>D126*I126</f>
        <v/>
      </c>
      <c r="M126" s="6" t="n">
        <v>1</v>
      </c>
      <c r="N126" s="42">
        <f>B126*M126</f>
        <v/>
      </c>
      <c r="O126" s="42">
        <f>C126*M126</f>
        <v/>
      </c>
      <c r="P126" s="42">
        <f>D126*M126</f>
        <v/>
      </c>
      <c r="Q126" s="7" t="inlineStr">
        <is>
          <t>Nut-free ✓</t>
        </is>
      </c>
    </row>
    <row r="127">
      <c r="A127" s="43" t="inlineStr">
        <is>
          <t xml:space="preserve">  SNACKS Total</t>
        </is>
      </c>
      <c r="B127" s="44" t="n"/>
      <c r="C127" s="44" t="n"/>
      <c r="D127" s="44" t="n"/>
      <c r="E127" s="44" t="n"/>
      <c r="F127" s="45">
        <f>SUM(F123:F126)</f>
        <v/>
      </c>
      <c r="G127" s="45">
        <f>SUM(G123:G126)</f>
        <v/>
      </c>
      <c r="H127" s="45">
        <f>SUM(H123:H126)</f>
        <v/>
      </c>
      <c r="I127" s="43" t="n"/>
      <c r="J127" s="46">
        <f>SUM(J123:J126)</f>
        <v/>
      </c>
      <c r="K127" s="46">
        <f>SUM(K123:K126)</f>
        <v/>
      </c>
      <c r="L127" s="46">
        <f>SUM(L123:L126)</f>
        <v/>
      </c>
      <c r="M127" s="44" t="n"/>
      <c r="N127" s="47">
        <f>SUM(N123:N126)</f>
        <v/>
      </c>
      <c r="O127" s="47">
        <f>SUM(O123:O126)</f>
        <v/>
      </c>
      <c r="P127" s="47">
        <f>SUM(P123:P126)</f>
        <v/>
      </c>
      <c r="Q127" s="43" t="n"/>
    </row>
    <row r="128" ht="24" customHeight="1">
      <c r="A128" s="30" t="inlineStr">
        <is>
          <t xml:space="preserve">  Tue Jul 28 — LUNCH</t>
        </is>
      </c>
    </row>
    <row r="129" ht="30" customHeight="1">
      <c r="A129" s="31" t="inlineStr">
        <is>
          <t>Food Item</t>
        </is>
      </c>
      <c r="B129" s="31" t="inlineStr">
        <is>
          <t>Qty
(Scout 3)</t>
        </is>
      </c>
      <c r="C129" s="31" t="inlineStr">
        <is>
          <t>Qty
(Scout 4)</t>
        </is>
      </c>
      <c r="D129" s="31" t="inlineStr">
        <is>
          <t>Qty
(Adult 3)</t>
        </is>
      </c>
      <c r="E129" s="31" t="inlineStr">
        <is>
          <t>kcal/unit</t>
        </is>
      </c>
      <c r="F129" s="31" t="inlineStr">
        <is>
          <t>Scout 3
kcal</t>
        </is>
      </c>
      <c r="G129" s="31" t="inlineStr">
        <is>
          <t>Scout 4
kcal</t>
        </is>
      </c>
      <c r="H129" s="31" t="inlineStr">
        <is>
          <t>Adult 3
kcal</t>
        </is>
      </c>
      <c r="I129" s="31" t="inlineStr">
        <is>
          <t>$/unit</t>
        </is>
      </c>
      <c r="J129" s="31" t="inlineStr">
        <is>
          <t>Scout 3
$</t>
        </is>
      </c>
      <c r="K129" s="31" t="inlineStr">
        <is>
          <t>Scout 4
$</t>
        </is>
      </c>
      <c r="L129" s="31" t="inlineStr">
        <is>
          <t>Adult 3
$</t>
        </is>
      </c>
      <c r="M129" s="31" t="inlineStr">
        <is>
          <t>oz/unit</t>
        </is>
      </c>
      <c r="N129" s="31" t="inlineStr">
        <is>
          <t>Scout 3
oz</t>
        </is>
      </c>
      <c r="O129" s="31" t="inlineStr">
        <is>
          <t>Scout 4
oz</t>
        </is>
      </c>
      <c r="P129" s="31" t="inlineStr">
        <is>
          <t>Adult 3
oz</t>
        </is>
      </c>
      <c r="Q129" s="31" t="inlineStr">
        <is>
          <t>Notes</t>
        </is>
      </c>
    </row>
    <row r="130">
      <c r="A130" s="32" t="inlineStr">
        <is>
          <t>ProBar Meal – Oatmeal Chocolate Chip</t>
        </is>
      </c>
      <c r="B130" s="33" t="n">
        <v>3</v>
      </c>
      <c r="C130" s="33" t="n">
        <v>4</v>
      </c>
      <c r="D130" s="33" t="n">
        <v>3</v>
      </c>
      <c r="E130" s="33" t="n">
        <v>290</v>
      </c>
      <c r="F130" s="34">
        <f>B130*E130</f>
        <v/>
      </c>
      <c r="G130" s="34">
        <f>C130*E130</f>
        <v/>
      </c>
      <c r="H130" s="34">
        <f>D130*E130</f>
        <v/>
      </c>
      <c r="I130" s="35" t="n">
        <v>2.99</v>
      </c>
      <c r="J130" s="35">
        <f>B130*I130</f>
        <v/>
      </c>
      <c r="K130" s="35">
        <f>C130*I130</f>
        <v/>
      </c>
      <c r="L130" s="35">
        <f>D130*I130</f>
        <v/>
      </c>
      <c r="M130" s="33" t="n">
        <v>3</v>
      </c>
      <c r="N130" s="36">
        <f>B130*M130</f>
        <v/>
      </c>
      <c r="O130" s="36">
        <f>C130*M130</f>
        <v/>
      </c>
      <c r="P130" s="36">
        <f>D130*M130</f>
        <v/>
      </c>
      <c r="Q130" s="32" t="inlineStr">
        <is>
          <t>Lunch · ⚠ NUT (cashews)</t>
        </is>
      </c>
    </row>
    <row r="131">
      <c r="A131" s="43" t="inlineStr">
        <is>
          <t xml:space="preserve">  LUNCH Total</t>
        </is>
      </c>
      <c r="B131" s="44" t="n"/>
      <c r="C131" s="44" t="n"/>
      <c r="D131" s="44" t="n"/>
      <c r="E131" s="44" t="n"/>
      <c r="F131" s="45">
        <f>SUM(F130:F130)</f>
        <v/>
      </c>
      <c r="G131" s="45">
        <f>SUM(G130:G130)</f>
        <v/>
      </c>
      <c r="H131" s="45">
        <f>SUM(H130:H130)</f>
        <v/>
      </c>
      <c r="I131" s="43" t="n"/>
      <c r="J131" s="46">
        <f>SUM(J130:J130)</f>
        <v/>
      </c>
      <c r="K131" s="46">
        <f>SUM(K130:K130)</f>
        <v/>
      </c>
      <c r="L131" s="46">
        <f>SUM(L130:L130)</f>
        <v/>
      </c>
      <c r="M131" s="44" t="n"/>
      <c r="N131" s="47">
        <f>SUM(N130:N130)</f>
        <v/>
      </c>
      <c r="O131" s="47">
        <f>SUM(O130:O130)</f>
        <v/>
      </c>
      <c r="P131" s="47">
        <f>SUM(P130:P130)</f>
        <v/>
      </c>
      <c r="Q131" s="43" t="n"/>
    </row>
    <row r="132" ht="24" customHeight="1">
      <c r="A132" s="30" t="inlineStr">
        <is>
          <t xml:space="preserve">  Tue Jul 28 — DINNER</t>
        </is>
      </c>
    </row>
    <row r="133" ht="30" customHeight="1">
      <c r="A133" s="31" t="inlineStr">
        <is>
          <t>Food Item</t>
        </is>
      </c>
      <c r="B133" s="31" t="inlineStr">
        <is>
          <t>Qty
(Scout 3)</t>
        </is>
      </c>
      <c r="C133" s="31" t="inlineStr">
        <is>
          <t>Qty
(Scout 4)</t>
        </is>
      </c>
      <c r="D133" s="31" t="inlineStr">
        <is>
          <t>Qty
(Adult 3)</t>
        </is>
      </c>
      <c r="E133" s="31" t="inlineStr">
        <is>
          <t>kcal/unit</t>
        </is>
      </c>
      <c r="F133" s="31" t="inlineStr">
        <is>
          <t>Scout 3
kcal</t>
        </is>
      </c>
      <c r="G133" s="31" t="inlineStr">
        <is>
          <t>Scout 4
kcal</t>
        </is>
      </c>
      <c r="H133" s="31" t="inlineStr">
        <is>
          <t>Adult 3
kcal</t>
        </is>
      </c>
      <c r="I133" s="31" t="inlineStr">
        <is>
          <t>$/unit</t>
        </is>
      </c>
      <c r="J133" s="31" t="inlineStr">
        <is>
          <t>Scout 3
$</t>
        </is>
      </c>
      <c r="K133" s="31" t="inlineStr">
        <is>
          <t>Scout 4
$</t>
        </is>
      </c>
      <c r="L133" s="31" t="inlineStr">
        <is>
          <t>Adult 3
$</t>
        </is>
      </c>
      <c r="M133" s="31" t="inlineStr">
        <is>
          <t>oz/unit</t>
        </is>
      </c>
      <c r="N133" s="31" t="inlineStr">
        <is>
          <t>Scout 3
oz</t>
        </is>
      </c>
      <c r="O133" s="31" t="inlineStr">
        <is>
          <t>Scout 4
oz</t>
        </is>
      </c>
      <c r="P133" s="31" t="inlineStr">
        <is>
          <t>Adult 3
oz</t>
        </is>
      </c>
      <c r="Q133" s="31" t="inlineStr">
        <is>
          <t>Notes</t>
        </is>
      </c>
    </row>
    <row r="134">
      <c r="A134" s="7" t="inlineStr">
        <is>
          <t>Peak Refuel – Beef Stroganoff</t>
        </is>
      </c>
      <c r="B134" s="6" t="n">
        <v>2</v>
      </c>
      <c r="C134" s="6" t="n">
        <v>3</v>
      </c>
      <c r="D134" s="6" t="n">
        <v>3</v>
      </c>
      <c r="E134" s="6" t="n">
        <v>600</v>
      </c>
      <c r="F134" s="40">
        <f>B134*E134</f>
        <v/>
      </c>
      <c r="G134" s="40">
        <f>C134*E134</f>
        <v/>
      </c>
      <c r="H134" s="40">
        <f>D134*E134</f>
        <v/>
      </c>
      <c r="I134" s="41" t="n">
        <v>7.49</v>
      </c>
      <c r="J134" s="41">
        <f>B134*I134</f>
        <v/>
      </c>
      <c r="K134" s="41">
        <f>C134*I134</f>
        <v/>
      </c>
      <c r="L134" s="41">
        <f>D134*I134</f>
        <v/>
      </c>
      <c r="M134" s="6" t="n">
        <v>3.5</v>
      </c>
      <c r="N134" s="42">
        <f>B134*M134</f>
        <v/>
      </c>
      <c r="O134" s="42">
        <f>C134*M134</f>
        <v/>
      </c>
      <c r="P134" s="42">
        <f>D134*M134</f>
        <v/>
      </c>
      <c r="Q134" s="7" t="inlineStr">
        <is>
          <t>Tue dinner (1.5 svgs/pouch)</t>
        </is>
      </c>
    </row>
    <row r="135">
      <c r="A135" s="10" t="inlineStr">
        <is>
          <t>Mission Street Taco Flour Tortillas</t>
        </is>
      </c>
      <c r="B135" s="9" t="n">
        <v>6</v>
      </c>
      <c r="C135" s="9" t="n">
        <v>8</v>
      </c>
      <c r="D135" s="9" t="n">
        <v>6</v>
      </c>
      <c r="E135" s="9" t="n">
        <v>75</v>
      </c>
      <c r="F135" s="37">
        <f>B135*E135</f>
        <v/>
      </c>
      <c r="G135" s="37">
        <f>C135*E135</f>
        <v/>
      </c>
      <c r="H135" s="37">
        <f>D135*E135</f>
        <v/>
      </c>
      <c r="I135" s="38" t="n">
        <v>0.25</v>
      </c>
      <c r="J135" s="38">
        <f>B135*I135</f>
        <v/>
      </c>
      <c r="K135" s="38">
        <f>C135*I135</f>
        <v/>
      </c>
      <c r="L135" s="38">
        <f>D135*I135</f>
        <v/>
      </c>
      <c r="M135" s="9" t="n">
        <v>0.5</v>
      </c>
      <c r="N135" s="39">
        <f>B135*M135</f>
        <v/>
      </c>
      <c r="O135" s="39">
        <f>C135*M135</f>
        <v/>
      </c>
      <c r="P135" s="39">
        <f>D135*M135</f>
        <v/>
      </c>
      <c r="Q135" s="10" t="inlineStr">
        <is>
          <t>2/person; nut-free ✓</t>
        </is>
      </c>
    </row>
    <row r="136">
      <c r="A136" s="7" t="inlineStr">
        <is>
          <t>Idahoan Mashed Potatoes – Butter &amp; Herb</t>
        </is>
      </c>
      <c r="B136" s="6" t="n">
        <v>3</v>
      </c>
      <c r="C136" s="6" t="n">
        <v>4</v>
      </c>
      <c r="D136" s="6" t="n">
        <v>3</v>
      </c>
      <c r="E136" s="6" t="n">
        <v>110</v>
      </c>
      <c r="F136" s="40">
        <f>B136*E136</f>
        <v/>
      </c>
      <c r="G136" s="40">
        <f>C136*E136</f>
        <v/>
      </c>
      <c r="H136" s="40">
        <f>D136*E136</f>
        <v/>
      </c>
      <c r="I136" s="41" t="n">
        <v>0.98</v>
      </c>
      <c r="J136" s="41">
        <f>B136*I136</f>
        <v/>
      </c>
      <c r="K136" s="41">
        <f>C136*I136</f>
        <v/>
      </c>
      <c r="L136" s="41">
        <f>D136*I136</f>
        <v/>
      </c>
      <c r="M136" s="6" t="n">
        <v>1</v>
      </c>
      <c r="N136" s="42">
        <f>B136*M136</f>
        <v/>
      </c>
      <c r="O136" s="42">
        <f>C136*M136</f>
        <v/>
      </c>
      <c r="P136" s="42">
        <f>D136*M136</f>
        <v/>
      </c>
      <c r="Q136" s="7" t="inlineStr">
        <is>
          <t>Dinner side</t>
        </is>
      </c>
    </row>
    <row r="137">
      <c r="A137" s="10" t="inlineStr">
        <is>
          <t>Swiss Miss Hot Chocolate</t>
        </is>
      </c>
      <c r="B137" s="9" t="n">
        <v>6</v>
      </c>
      <c r="C137" s="9" t="n">
        <v>8</v>
      </c>
      <c r="D137" s="9" t="n">
        <v>0</v>
      </c>
      <c r="E137" s="9" t="n">
        <v>90</v>
      </c>
      <c r="F137" s="37">
        <f>B137*E137</f>
        <v/>
      </c>
      <c r="G137" s="37">
        <f>C137*E137</f>
        <v/>
      </c>
      <c r="H137" s="37">
        <f>D137*E137</f>
        <v/>
      </c>
      <c r="I137" s="38" t="n">
        <v>0.38</v>
      </c>
      <c r="J137" s="38">
        <f>B137*I137</f>
        <v/>
      </c>
      <c r="K137" s="38">
        <f>C137*I137</f>
        <v/>
      </c>
      <c r="L137" s="38">
        <f>D137*I137</f>
        <v/>
      </c>
      <c r="M137" s="9" t="n">
        <v>0.73</v>
      </c>
      <c r="N137" s="39">
        <f>B137*M137</f>
        <v/>
      </c>
      <c r="O137" s="39">
        <f>C137*M137</f>
        <v/>
      </c>
      <c r="P137" s="39">
        <f>D137*M137</f>
        <v/>
      </c>
      <c r="Q137" s="10" t="inlineStr">
        <is>
          <t>Scouts only (2 packets/person)</t>
        </is>
      </c>
    </row>
    <row r="138">
      <c r="A138" s="43" t="inlineStr">
        <is>
          <t xml:space="preserve">  DINNER Total</t>
        </is>
      </c>
      <c r="B138" s="44" t="n"/>
      <c r="C138" s="44" t="n"/>
      <c r="D138" s="44" t="n"/>
      <c r="E138" s="44" t="n"/>
      <c r="F138" s="45">
        <f>SUM(F134:F137)</f>
        <v/>
      </c>
      <c r="G138" s="45">
        <f>SUM(G134:G137)</f>
        <v/>
      </c>
      <c r="H138" s="45">
        <f>SUM(H134:H137)</f>
        <v/>
      </c>
      <c r="I138" s="43" t="n"/>
      <c r="J138" s="46">
        <f>SUM(J134:J137)</f>
        <v/>
      </c>
      <c r="K138" s="46">
        <f>SUM(K134:K137)</f>
        <v/>
      </c>
      <c r="L138" s="46">
        <f>SUM(L134:L137)</f>
        <v/>
      </c>
      <c r="M138" s="44" t="n"/>
      <c r="N138" s="47">
        <f>SUM(N134:N137)</f>
        <v/>
      </c>
      <c r="O138" s="47">
        <f>SUM(O134:O137)</f>
        <v/>
      </c>
      <c r="P138" s="47">
        <f>SUM(P134:P137)</f>
        <v/>
      </c>
      <c r="Q138" s="43" t="n"/>
    </row>
    <row r="139" ht="24" customHeight="1">
      <c r="A139" s="30" t="inlineStr">
        <is>
          <t xml:space="preserve">  Tue Jul 28 — DESSERT</t>
        </is>
      </c>
    </row>
    <row r="140" ht="30" customHeight="1">
      <c r="A140" s="31" t="inlineStr">
        <is>
          <t>Food Item</t>
        </is>
      </c>
      <c r="B140" s="31" t="inlineStr">
        <is>
          <t>Qty
(Scout 3)</t>
        </is>
      </c>
      <c r="C140" s="31" t="inlineStr">
        <is>
          <t>Qty
(Scout 4)</t>
        </is>
      </c>
      <c r="D140" s="31" t="inlineStr">
        <is>
          <t>Qty
(Adult 3)</t>
        </is>
      </c>
      <c r="E140" s="31" t="inlineStr">
        <is>
          <t>kcal/unit</t>
        </is>
      </c>
      <c r="F140" s="31" t="inlineStr">
        <is>
          <t>Scout 3
kcal</t>
        </is>
      </c>
      <c r="G140" s="31" t="inlineStr">
        <is>
          <t>Scout 4
kcal</t>
        </is>
      </c>
      <c r="H140" s="31" t="inlineStr">
        <is>
          <t>Adult 3
kcal</t>
        </is>
      </c>
      <c r="I140" s="31" t="inlineStr">
        <is>
          <t>$/unit</t>
        </is>
      </c>
      <c r="J140" s="31" t="inlineStr">
        <is>
          <t>Scout 3
$</t>
        </is>
      </c>
      <c r="K140" s="31" t="inlineStr">
        <is>
          <t>Scout 4
$</t>
        </is>
      </c>
      <c r="L140" s="31" t="inlineStr">
        <is>
          <t>Adult 3
$</t>
        </is>
      </c>
      <c r="M140" s="31" t="inlineStr">
        <is>
          <t>oz/unit</t>
        </is>
      </c>
      <c r="N140" s="31" t="inlineStr">
        <is>
          <t>Scout 3
oz</t>
        </is>
      </c>
      <c r="O140" s="31" t="inlineStr">
        <is>
          <t>Scout 4
oz</t>
        </is>
      </c>
      <c r="P140" s="31" t="inlineStr">
        <is>
          <t>Adult 3
oz</t>
        </is>
      </c>
      <c r="Q140" s="31" t="inlineStr">
        <is>
          <t>Notes</t>
        </is>
      </c>
    </row>
    <row r="141">
      <c r="A141" s="32" t="inlineStr">
        <is>
          <t>Justin's Dark Chocolate Peanut Butter Cups</t>
        </is>
      </c>
      <c r="B141" s="33" t="n">
        <v>3</v>
      </c>
      <c r="C141" s="33" t="n">
        <v>4</v>
      </c>
      <c r="D141" s="33" t="n">
        <v>3</v>
      </c>
      <c r="E141" s="33" t="n">
        <v>210</v>
      </c>
      <c r="F141" s="34">
        <f>B141*E141</f>
        <v/>
      </c>
      <c r="G141" s="34">
        <f>C141*E141</f>
        <v/>
      </c>
      <c r="H141" s="34">
        <f>D141*E141</f>
        <v/>
      </c>
      <c r="I141" s="35" t="n">
        <v>1.49</v>
      </c>
      <c r="J141" s="35">
        <f>B141*I141</f>
        <v/>
      </c>
      <c r="K141" s="35">
        <f>C141*I141</f>
        <v/>
      </c>
      <c r="L141" s="35">
        <f>D141*I141</f>
        <v/>
      </c>
      <c r="M141" s="33" t="n">
        <v>1.41</v>
      </c>
      <c r="N141" s="36">
        <f>B141*M141</f>
        <v/>
      </c>
      <c r="O141" s="36">
        <f>C141*M141</f>
        <v/>
      </c>
      <c r="P141" s="36">
        <f>D141*M141</f>
        <v/>
      </c>
      <c r="Q141" s="32" t="inlineStr">
        <is>
          <t>1 packet/person; ⚠ NUT</t>
        </is>
      </c>
    </row>
    <row r="142">
      <c r="A142" s="7" t="inlineStr">
        <is>
          <t>Swiss Miss Hot Chocolate</t>
        </is>
      </c>
      <c r="B142" s="6" t="n">
        <v>6</v>
      </c>
      <c r="C142" s="6" t="n">
        <v>8</v>
      </c>
      <c r="D142" s="6" t="n">
        <v>0</v>
      </c>
      <c r="E142" s="6" t="n">
        <v>90</v>
      </c>
      <c r="F142" s="40">
        <f>B142*E142</f>
        <v/>
      </c>
      <c r="G142" s="40">
        <f>C142*E142</f>
        <v/>
      </c>
      <c r="H142" s="40">
        <f>D142*E142</f>
        <v/>
      </c>
      <c r="I142" s="41" t="n">
        <v>0.38</v>
      </c>
      <c r="J142" s="41">
        <f>B142*I142</f>
        <v/>
      </c>
      <c r="K142" s="41">
        <f>C142*I142</f>
        <v/>
      </c>
      <c r="L142" s="41">
        <f>D142*I142</f>
        <v/>
      </c>
      <c r="M142" s="6" t="n">
        <v>0.73</v>
      </c>
      <c r="N142" s="42">
        <f>B142*M142</f>
        <v/>
      </c>
      <c r="O142" s="42">
        <f>C142*M142</f>
        <v/>
      </c>
      <c r="P142" s="42">
        <f>D142*M142</f>
        <v/>
      </c>
      <c r="Q142" s="7" t="inlineStr">
        <is>
          <t>Scouts only (2 packets/person)</t>
        </is>
      </c>
    </row>
    <row r="143">
      <c r="A143" s="43" t="inlineStr">
        <is>
          <t xml:space="preserve">  DESSERT Total</t>
        </is>
      </c>
      <c r="B143" s="44" t="n"/>
      <c r="C143" s="44" t="n"/>
      <c r="D143" s="44" t="n"/>
      <c r="E143" s="44" t="n"/>
      <c r="F143" s="45">
        <f>SUM(F141:F142)</f>
        <v/>
      </c>
      <c r="G143" s="45">
        <f>SUM(G141:G142)</f>
        <v/>
      </c>
      <c r="H143" s="45">
        <f>SUM(H141:H142)</f>
        <v/>
      </c>
      <c r="I143" s="43" t="n"/>
      <c r="J143" s="46">
        <f>SUM(J141:J142)</f>
        <v/>
      </c>
      <c r="K143" s="46">
        <f>SUM(K141:K142)</f>
        <v/>
      </c>
      <c r="L143" s="46">
        <f>SUM(L141:L142)</f>
        <v/>
      </c>
      <c r="M143" s="44" t="n"/>
      <c r="N143" s="47">
        <f>SUM(N141:N142)</f>
        <v/>
      </c>
      <c r="O143" s="47">
        <f>SUM(O141:O142)</f>
        <v/>
      </c>
      <c r="P143" s="47">
        <f>SUM(P141:P142)</f>
        <v/>
      </c>
      <c r="Q143" s="43" t="n"/>
    </row>
    <row r="144">
      <c r="A144" s="48" t="inlineStr">
        <is>
          <t>DAY 4 (Tue Jul 28) TOTAL</t>
        </is>
      </c>
      <c r="B144" s="48" t="n"/>
      <c r="C144" s="48" t="n"/>
      <c r="D144" s="48" t="n"/>
      <c r="E144" s="48" t="n"/>
      <c r="F144" s="49">
        <f>SUM(F120,F127,F131,F138,F143)</f>
        <v/>
      </c>
      <c r="G144" s="49">
        <f>SUM(G120,G127,G131,G138,G143)</f>
        <v/>
      </c>
      <c r="H144" s="49">
        <f>SUM(H120,H127,H131,H138,H143)</f>
        <v/>
      </c>
      <c r="I144" s="48" t="n"/>
      <c r="J144" s="50">
        <f>SUM(J120,J127,J131,J138,J143)</f>
        <v/>
      </c>
      <c r="K144" s="50">
        <f>SUM(K120,K127,K131,K138,K143)</f>
        <v/>
      </c>
      <c r="L144" s="50">
        <f>SUM(L120,L127,L131,L138,L143)</f>
        <v/>
      </c>
      <c r="M144" s="48" t="n"/>
      <c r="N144" s="51">
        <f>SUM(N120,N127,N131,N138,N143)</f>
        <v/>
      </c>
      <c r="O144" s="51">
        <f>SUM(O120,O127,O131,O138,O143)</f>
        <v/>
      </c>
      <c r="P144" s="51">
        <f>SUM(P120,P127,P131,P138,P143)</f>
        <v/>
      </c>
      <c r="Q144" s="48" t="n"/>
    </row>
    <row r="145"/>
    <row r="146" ht="24" customHeight="1">
      <c r="A146" s="28" t="inlineStr">
        <is>
          <t>WED JUL 29 — DAY 5 DETAILS</t>
        </is>
      </c>
    </row>
    <row r="147" ht="24" customHeight="1">
      <c r="A147" s="30" t="inlineStr">
        <is>
          <t xml:space="preserve">  Wed Jul 29 — BREAKFAST</t>
        </is>
      </c>
    </row>
    <row r="148" ht="30" customHeight="1">
      <c r="A148" s="31" t="inlineStr">
        <is>
          <t>Food Item</t>
        </is>
      </c>
      <c r="B148" s="31" t="inlineStr">
        <is>
          <t>Qty
(Scout 3)</t>
        </is>
      </c>
      <c r="C148" s="31" t="inlineStr">
        <is>
          <t>Qty
(Scout 4)</t>
        </is>
      </c>
      <c r="D148" s="31" t="inlineStr">
        <is>
          <t>Qty
(Adult 3)</t>
        </is>
      </c>
      <c r="E148" s="31" t="inlineStr">
        <is>
          <t>kcal/unit</t>
        </is>
      </c>
      <c r="F148" s="31" t="inlineStr">
        <is>
          <t>Scout 3
kcal</t>
        </is>
      </c>
      <c r="G148" s="31" t="inlineStr">
        <is>
          <t>Scout 4
kcal</t>
        </is>
      </c>
      <c r="H148" s="31" t="inlineStr">
        <is>
          <t>Adult 3
kcal</t>
        </is>
      </c>
      <c r="I148" s="31" t="inlineStr">
        <is>
          <t>$/unit</t>
        </is>
      </c>
      <c r="J148" s="31" t="inlineStr">
        <is>
          <t>Scout 3
$</t>
        </is>
      </c>
      <c r="K148" s="31" t="inlineStr">
        <is>
          <t>Scout 4
$</t>
        </is>
      </c>
      <c r="L148" s="31" t="inlineStr">
        <is>
          <t>Adult 3
$</t>
        </is>
      </c>
      <c r="M148" s="31" t="inlineStr">
        <is>
          <t>oz/unit</t>
        </is>
      </c>
      <c r="N148" s="31" t="inlineStr">
        <is>
          <t>Scout 3
oz</t>
        </is>
      </c>
      <c r="O148" s="31" t="inlineStr">
        <is>
          <t>Scout 4
oz</t>
        </is>
      </c>
      <c r="P148" s="31" t="inlineStr">
        <is>
          <t>Adult 3
oz</t>
        </is>
      </c>
      <c r="Q148" s="31" t="inlineStr">
        <is>
          <t>Notes</t>
        </is>
      </c>
    </row>
    <row r="149">
      <c r="A149" s="32" t="inlineStr">
        <is>
          <t>ProBar Meal – Oatmeal Chocolate Chip</t>
        </is>
      </c>
      <c r="B149" s="33" t="n">
        <v>3</v>
      </c>
      <c r="C149" s="33" t="n">
        <v>4</v>
      </c>
      <c r="D149" s="33" t="n">
        <v>3</v>
      </c>
      <c r="E149" s="33" t="n">
        <v>290</v>
      </c>
      <c r="F149" s="34">
        <f>B149*E149</f>
        <v/>
      </c>
      <c r="G149" s="34">
        <f>C149*E149</f>
        <v/>
      </c>
      <c r="H149" s="34">
        <f>D149*E149</f>
        <v/>
      </c>
      <c r="I149" s="35" t="n">
        <v>2.99</v>
      </c>
      <c r="J149" s="35">
        <f>B149*I149</f>
        <v/>
      </c>
      <c r="K149" s="35">
        <f>C149*I149</f>
        <v/>
      </c>
      <c r="L149" s="35">
        <f>D149*I149</f>
        <v/>
      </c>
      <c r="M149" s="33" t="n">
        <v>3</v>
      </c>
      <c r="N149" s="36">
        <f>B149*M149</f>
        <v/>
      </c>
      <c r="O149" s="36">
        <f>C149*M149</f>
        <v/>
      </c>
      <c r="P149" s="36">
        <f>D149*M149</f>
        <v/>
      </c>
      <c r="Q149" s="32" t="inlineStr">
        <is>
          <t>Bkfst · ⚠ NUT (cashews)</t>
        </is>
      </c>
    </row>
    <row r="150">
      <c r="A150" s="7" t="inlineStr">
        <is>
          <t>Swiss Miss Hot Chocolate</t>
        </is>
      </c>
      <c r="B150" s="6" t="n">
        <v>6</v>
      </c>
      <c r="C150" s="6" t="n">
        <v>8</v>
      </c>
      <c r="D150" s="6" t="n">
        <v>0</v>
      </c>
      <c r="E150" s="6" t="n">
        <v>90</v>
      </c>
      <c r="F150" s="40">
        <f>B150*E150</f>
        <v/>
      </c>
      <c r="G150" s="40">
        <f>C150*E150</f>
        <v/>
      </c>
      <c r="H150" s="40">
        <f>D150*E150</f>
        <v/>
      </c>
      <c r="I150" s="41" t="n">
        <v>0.38</v>
      </c>
      <c r="J150" s="41">
        <f>B150*I150</f>
        <v/>
      </c>
      <c r="K150" s="41">
        <f>C150*I150</f>
        <v/>
      </c>
      <c r="L150" s="41">
        <f>D150*I150</f>
        <v/>
      </c>
      <c r="M150" s="6" t="n">
        <v>0.73</v>
      </c>
      <c r="N150" s="42">
        <f>B150*M150</f>
        <v/>
      </c>
      <c r="O150" s="42">
        <f>C150*M150</f>
        <v/>
      </c>
      <c r="P150" s="42">
        <f>D150*M150</f>
        <v/>
      </c>
      <c r="Q150" s="7" t="inlineStr">
        <is>
          <t>Scouts only (2 packets/person)</t>
        </is>
      </c>
    </row>
    <row r="151">
      <c r="A151" s="52" t="inlineStr">
        <is>
          <t>Adults: own coffee / tea</t>
        </is>
      </c>
      <c r="B151" s="53" t="n">
        <v>0</v>
      </c>
      <c r="C151" s="53" t="n">
        <v>0</v>
      </c>
      <c r="D151" s="53" t="n">
        <v>3</v>
      </c>
      <c r="E151" s="53" t="n">
        <v>0</v>
      </c>
      <c r="F151" s="54">
        <f>B151*E151</f>
        <v/>
      </c>
      <c r="G151" s="54">
        <f>C151*E151</f>
        <v/>
      </c>
      <c r="H151" s="54">
        <f>D151*E151</f>
        <v/>
      </c>
      <c r="I151" s="55" t="n">
        <v>0</v>
      </c>
      <c r="J151" s="55">
        <f>B151*I151</f>
        <v/>
      </c>
      <c r="K151" s="55">
        <f>C151*I151</f>
        <v/>
      </c>
      <c r="L151" s="55">
        <f>D151*I151</f>
        <v/>
      </c>
      <c r="M151" s="53" t="n">
        <v>0</v>
      </c>
      <c r="N151" s="56">
        <f>B151*M151</f>
        <v/>
      </c>
      <c r="O151" s="56">
        <f>C151*M151</f>
        <v/>
      </c>
      <c r="P151" s="56">
        <f>D151*M151</f>
        <v/>
      </c>
      <c r="Q151" s="52" t="inlineStr">
        <is>
          <t>Adults only ★</t>
        </is>
      </c>
    </row>
    <row r="152">
      <c r="A152" s="43" t="inlineStr">
        <is>
          <t xml:space="preserve">  BREAKFAST Total</t>
        </is>
      </c>
      <c r="B152" s="44" t="n"/>
      <c r="C152" s="44" t="n"/>
      <c r="D152" s="44" t="n"/>
      <c r="E152" s="44" t="n"/>
      <c r="F152" s="45">
        <f>SUM(F149:F151)</f>
        <v/>
      </c>
      <c r="G152" s="45">
        <f>SUM(G149:G151)</f>
        <v/>
      </c>
      <c r="H152" s="45">
        <f>SUM(H149:H151)</f>
        <v/>
      </c>
      <c r="I152" s="43" t="n"/>
      <c r="J152" s="46">
        <f>SUM(J149:J151)</f>
        <v/>
      </c>
      <c r="K152" s="46">
        <f>SUM(K149:K151)</f>
        <v/>
      </c>
      <c r="L152" s="46">
        <f>SUM(L149:L151)</f>
        <v/>
      </c>
      <c r="M152" s="44" t="n"/>
      <c r="N152" s="47">
        <f>SUM(N149:N151)</f>
        <v/>
      </c>
      <c r="O152" s="47">
        <f>SUM(O149:O151)</f>
        <v/>
      </c>
      <c r="P152" s="47">
        <f>SUM(P149:P151)</f>
        <v/>
      </c>
      <c r="Q152" s="43" t="n"/>
    </row>
    <row r="153" ht="24" customHeight="1">
      <c r="A153" s="30" t="inlineStr">
        <is>
          <t xml:space="preserve">  Wed Jul 29 — SNACKS</t>
        </is>
      </c>
    </row>
    <row r="154" ht="30" customHeight="1">
      <c r="A154" s="31" t="inlineStr">
        <is>
          <t>Food Item</t>
        </is>
      </c>
      <c r="B154" s="31" t="inlineStr">
        <is>
          <t>Qty
(Scout 3)</t>
        </is>
      </c>
      <c r="C154" s="31" t="inlineStr">
        <is>
          <t>Qty
(Scout 4)</t>
        </is>
      </c>
      <c r="D154" s="31" t="inlineStr">
        <is>
          <t>Qty
(Adult 3)</t>
        </is>
      </c>
      <c r="E154" s="31" t="inlineStr">
        <is>
          <t>kcal/unit</t>
        </is>
      </c>
      <c r="F154" s="31" t="inlineStr">
        <is>
          <t>Scout 3
kcal</t>
        </is>
      </c>
      <c r="G154" s="31" t="inlineStr">
        <is>
          <t>Scout 4
kcal</t>
        </is>
      </c>
      <c r="H154" s="31" t="inlineStr">
        <is>
          <t>Adult 3
kcal</t>
        </is>
      </c>
      <c r="I154" s="31" t="inlineStr">
        <is>
          <t>$/unit</t>
        </is>
      </c>
      <c r="J154" s="31" t="inlineStr">
        <is>
          <t>Scout 3
$</t>
        </is>
      </c>
      <c r="K154" s="31" t="inlineStr">
        <is>
          <t>Scout 4
$</t>
        </is>
      </c>
      <c r="L154" s="31" t="inlineStr">
        <is>
          <t>Adult 3
$</t>
        </is>
      </c>
      <c r="M154" s="31" t="inlineStr">
        <is>
          <t>oz/unit</t>
        </is>
      </c>
      <c r="N154" s="31" t="inlineStr">
        <is>
          <t>Scout 3
oz</t>
        </is>
      </c>
      <c r="O154" s="31" t="inlineStr">
        <is>
          <t>Scout 4
oz</t>
        </is>
      </c>
      <c r="P154" s="31" t="inlineStr">
        <is>
          <t>Adult 3
oz</t>
        </is>
      </c>
      <c r="Q154" s="31" t="inlineStr">
        <is>
          <t>Notes</t>
        </is>
      </c>
    </row>
    <row r="155">
      <c r="A155" s="32" t="inlineStr">
        <is>
          <t>Kind – Peanut Butter Dark Chocolate Bar</t>
        </is>
      </c>
      <c r="B155" s="33" t="n">
        <v>3</v>
      </c>
      <c r="C155" s="33" t="n">
        <v>4</v>
      </c>
      <c r="D155" s="33" t="n">
        <v>3</v>
      </c>
      <c r="E155" s="33" t="n">
        <v>200</v>
      </c>
      <c r="F155" s="34">
        <f>B155*E155</f>
        <v/>
      </c>
      <c r="G155" s="34">
        <f>C155*E155</f>
        <v/>
      </c>
      <c r="H155" s="34">
        <f>D155*E155</f>
        <v/>
      </c>
      <c r="I155" s="35" t="n">
        <v>1.04</v>
      </c>
      <c r="J155" s="35">
        <f>B155*I155</f>
        <v/>
      </c>
      <c r="K155" s="35">
        <f>C155*I155</f>
        <v/>
      </c>
      <c r="L155" s="35">
        <f>D155*I155</f>
        <v/>
      </c>
      <c r="M155" s="33" t="n">
        <v>1.4</v>
      </c>
      <c r="N155" s="36">
        <f>B155*M155</f>
        <v/>
      </c>
      <c r="O155" s="36">
        <f>C155*M155</f>
        <v/>
      </c>
      <c r="P155" s="36">
        <f>D155*M155</f>
        <v/>
      </c>
      <c r="Q155" s="32" t="inlineStr">
        <is>
          <t>⚠ NUT: swap → 88 Acres bar</t>
        </is>
      </c>
    </row>
    <row r="156">
      <c r="A156" s="32" t="inlineStr">
        <is>
          <t>Kind – Caramel Almond &amp; Peanut Bar</t>
        </is>
      </c>
      <c r="B156" s="33" t="n">
        <v>3</v>
      </c>
      <c r="C156" s="33" t="n">
        <v>4</v>
      </c>
      <c r="D156" s="33" t="n">
        <v>3</v>
      </c>
      <c r="E156" s="33" t="n">
        <v>180</v>
      </c>
      <c r="F156" s="34">
        <f>B156*E156</f>
        <v/>
      </c>
      <c r="G156" s="34">
        <f>C156*E156</f>
        <v/>
      </c>
      <c r="H156" s="34">
        <f>D156*E156</f>
        <v/>
      </c>
      <c r="I156" s="35" t="n">
        <v>1.59</v>
      </c>
      <c r="J156" s="35">
        <f>B156*I156</f>
        <v/>
      </c>
      <c r="K156" s="35">
        <f>C156*I156</f>
        <v/>
      </c>
      <c r="L156" s="35">
        <f>D156*I156</f>
        <v/>
      </c>
      <c r="M156" s="33" t="n">
        <v>1.4</v>
      </c>
      <c r="N156" s="36">
        <f>B156*M156</f>
        <v/>
      </c>
      <c r="O156" s="36">
        <f>C156*M156</f>
        <v/>
      </c>
      <c r="P156" s="36">
        <f>D156*M156</f>
        <v/>
      </c>
      <c r="Q156" s="32" t="inlineStr">
        <is>
          <t>⚠ NUT: swap → 88 Acres bar</t>
        </is>
      </c>
    </row>
    <row r="157">
      <c r="A157" s="10" t="inlineStr">
        <is>
          <t>Krave Sea Salt Original Beef Jerky</t>
        </is>
      </c>
      <c r="B157" s="9" t="n">
        <v>3</v>
      </c>
      <c r="C157" s="9" t="n">
        <v>4</v>
      </c>
      <c r="D157" s="9" t="n">
        <v>3</v>
      </c>
      <c r="E157" s="9" t="n">
        <v>140</v>
      </c>
      <c r="F157" s="37">
        <f>B157*E157</f>
        <v/>
      </c>
      <c r="G157" s="37">
        <f>C157*E157</f>
        <v/>
      </c>
      <c r="H157" s="37">
        <f>D157*E157</f>
        <v/>
      </c>
      <c r="I157" s="38" t="n">
        <v>2.19</v>
      </c>
      <c r="J157" s="38">
        <f>B157*I157</f>
        <v/>
      </c>
      <c r="K157" s="38">
        <f>C157*I157</f>
        <v/>
      </c>
      <c r="L157" s="38">
        <f>D157*I157</f>
        <v/>
      </c>
      <c r="M157" s="9" t="n">
        <v>1.48</v>
      </c>
      <c r="N157" s="39">
        <f>B157*M157</f>
        <v/>
      </c>
      <c r="O157" s="39">
        <f>C157*M157</f>
        <v/>
      </c>
      <c r="P157" s="39">
        <f>D157*M157</f>
        <v/>
      </c>
      <c r="Q157" s="10" t="inlineStr">
        <is>
          <t>Safe for nut allergy ✓</t>
        </is>
      </c>
    </row>
    <row r="158">
      <c r="A158" s="7" t="inlineStr">
        <is>
          <t>Gatorade Powder Pack</t>
        </is>
      </c>
      <c r="B158" s="6" t="n">
        <v>3</v>
      </c>
      <c r="C158" s="6" t="n">
        <v>4</v>
      </c>
      <c r="D158" s="6" t="n">
        <v>3</v>
      </c>
      <c r="E158" s="6" t="n">
        <v>130</v>
      </c>
      <c r="F158" s="40">
        <f>B158*E158</f>
        <v/>
      </c>
      <c r="G158" s="40">
        <f>C158*E158</f>
        <v/>
      </c>
      <c r="H158" s="40">
        <f>D158*E158</f>
        <v/>
      </c>
      <c r="I158" s="41" t="n">
        <v>0.38</v>
      </c>
      <c r="J158" s="41">
        <f>B158*I158</f>
        <v/>
      </c>
      <c r="K158" s="41">
        <f>C158*I158</f>
        <v/>
      </c>
      <c r="L158" s="41">
        <f>D158*I158</f>
        <v/>
      </c>
      <c r="M158" s="6" t="n">
        <v>1.23</v>
      </c>
      <c r="N158" s="42">
        <f>B158*M158</f>
        <v/>
      </c>
      <c r="O158" s="42">
        <f>C158*M158</f>
        <v/>
      </c>
      <c r="P158" s="42">
        <f>D158*M158</f>
        <v/>
      </c>
      <c r="Q158" s="7" t="inlineStr">
        <is>
          <t>Electrolytes</t>
        </is>
      </c>
    </row>
    <row r="159">
      <c r="A159" s="10" t="inlineStr">
        <is>
          <t>Trader Joe's Dried Mango Slices (1 oz)</t>
        </is>
      </c>
      <c r="B159" s="9" t="n">
        <v>3</v>
      </c>
      <c r="C159" s="9" t="n">
        <v>4</v>
      </c>
      <c r="D159" s="9" t="n">
        <v>3</v>
      </c>
      <c r="E159" s="9" t="n">
        <v>90</v>
      </c>
      <c r="F159" s="37">
        <f>B159*E159</f>
        <v/>
      </c>
      <c r="G159" s="37">
        <f>C159*E159</f>
        <v/>
      </c>
      <c r="H159" s="37">
        <f>D159*E159</f>
        <v/>
      </c>
      <c r="I159" s="38" t="n">
        <v>0.55</v>
      </c>
      <c r="J159" s="38">
        <f>B159*I159</f>
        <v/>
      </c>
      <c r="K159" s="38">
        <f>C159*I159</f>
        <v/>
      </c>
      <c r="L159" s="38">
        <f>D159*I159</f>
        <v/>
      </c>
      <c r="M159" s="9" t="n">
        <v>1</v>
      </c>
      <c r="N159" s="39">
        <f>B159*M159</f>
        <v/>
      </c>
      <c r="O159" s="39">
        <f>C159*M159</f>
        <v/>
      </c>
      <c r="P159" s="39">
        <f>D159*M159</f>
        <v/>
      </c>
      <c r="Q159" s="10" t="inlineStr">
        <is>
          <t>TJ's — Wed snack · nut-free ✓</t>
        </is>
      </c>
    </row>
    <row r="160">
      <c r="A160" s="43" t="inlineStr">
        <is>
          <t xml:space="preserve">  SNACKS Total</t>
        </is>
      </c>
      <c r="B160" s="44" t="n"/>
      <c r="C160" s="44" t="n"/>
      <c r="D160" s="44" t="n"/>
      <c r="E160" s="44" t="n"/>
      <c r="F160" s="45">
        <f>SUM(F155:F159)</f>
        <v/>
      </c>
      <c r="G160" s="45">
        <f>SUM(G155:G159)</f>
        <v/>
      </c>
      <c r="H160" s="45">
        <f>SUM(H155:H159)</f>
        <v/>
      </c>
      <c r="I160" s="43" t="n"/>
      <c r="J160" s="46">
        <f>SUM(J155:J159)</f>
        <v/>
      </c>
      <c r="K160" s="46">
        <f>SUM(K155:K159)</f>
        <v/>
      </c>
      <c r="L160" s="46">
        <f>SUM(L155:L159)</f>
        <v/>
      </c>
      <c r="M160" s="44" t="n"/>
      <c r="N160" s="47">
        <f>SUM(N155:N159)</f>
        <v/>
      </c>
      <c r="O160" s="47">
        <f>SUM(O155:O159)</f>
        <v/>
      </c>
      <c r="P160" s="47">
        <f>SUM(P155:P159)</f>
        <v/>
      </c>
      <c r="Q160" s="43" t="n"/>
    </row>
    <row r="161" ht="24" customHeight="1">
      <c r="A161" s="30" t="inlineStr">
        <is>
          <t xml:space="preserve">  Wed Jul 29 — LUNCH</t>
        </is>
      </c>
    </row>
    <row r="162" ht="30" customHeight="1">
      <c r="A162" s="31" t="inlineStr">
        <is>
          <t>Food Item</t>
        </is>
      </c>
      <c r="B162" s="31" t="inlineStr">
        <is>
          <t>Qty
(Scout 3)</t>
        </is>
      </c>
      <c r="C162" s="31" t="inlineStr">
        <is>
          <t>Qty
(Scout 4)</t>
        </is>
      </c>
      <c r="D162" s="31" t="inlineStr">
        <is>
          <t>Qty
(Adult 3)</t>
        </is>
      </c>
      <c r="E162" s="31" t="inlineStr">
        <is>
          <t>kcal/unit</t>
        </is>
      </c>
      <c r="F162" s="31" t="inlineStr">
        <is>
          <t>Scout 3
kcal</t>
        </is>
      </c>
      <c r="G162" s="31" t="inlineStr">
        <is>
          <t>Scout 4
kcal</t>
        </is>
      </c>
      <c r="H162" s="31" t="inlineStr">
        <is>
          <t>Adult 3
kcal</t>
        </is>
      </c>
      <c r="I162" s="31" t="inlineStr">
        <is>
          <t>$/unit</t>
        </is>
      </c>
      <c r="J162" s="31" t="inlineStr">
        <is>
          <t>Scout 3
$</t>
        </is>
      </c>
      <c r="K162" s="31" t="inlineStr">
        <is>
          <t>Scout 4
$</t>
        </is>
      </c>
      <c r="L162" s="31" t="inlineStr">
        <is>
          <t>Adult 3
$</t>
        </is>
      </c>
      <c r="M162" s="31" t="inlineStr">
        <is>
          <t>oz/unit</t>
        </is>
      </c>
      <c r="N162" s="31" t="inlineStr">
        <is>
          <t>Scout 3
oz</t>
        </is>
      </c>
      <c r="O162" s="31" t="inlineStr">
        <is>
          <t>Scout 4
oz</t>
        </is>
      </c>
      <c r="P162" s="31" t="inlineStr">
        <is>
          <t>Adult 3
oz</t>
        </is>
      </c>
      <c r="Q162" s="31" t="inlineStr">
        <is>
          <t>Notes</t>
        </is>
      </c>
    </row>
    <row r="163">
      <c r="A163" s="10" t="inlineStr">
        <is>
          <t>Chicken of the Sea Shredded Chicken Pouch</t>
        </is>
      </c>
      <c r="B163" s="9" t="n">
        <v>3</v>
      </c>
      <c r="C163" s="9" t="n">
        <v>4</v>
      </c>
      <c r="D163" s="9" t="n">
        <v>3</v>
      </c>
      <c r="E163" s="9" t="n">
        <v>70</v>
      </c>
      <c r="F163" s="37">
        <f>B163*E163</f>
        <v/>
      </c>
      <c r="G163" s="37">
        <f>C163*E163</f>
        <v/>
      </c>
      <c r="H163" s="37">
        <f>D163*E163</f>
        <v/>
      </c>
      <c r="I163" s="38" t="n">
        <v>2.29</v>
      </c>
      <c r="J163" s="38">
        <f>B163*I163</f>
        <v/>
      </c>
      <c r="K163" s="38">
        <f>C163*I163</f>
        <v/>
      </c>
      <c r="L163" s="38">
        <f>D163*I163</f>
        <v/>
      </c>
      <c r="M163" s="9" t="n">
        <v>2.5</v>
      </c>
      <c r="N163" s="39">
        <f>B163*M163</f>
        <v/>
      </c>
      <c r="O163" s="39">
        <f>C163*M163</f>
        <v/>
      </c>
      <c r="P163" s="39">
        <f>D163*M163</f>
        <v/>
      </c>
      <c r="Q163" s="10" t="inlineStr">
        <is>
          <t>No cook; nut-free ✓</t>
        </is>
      </c>
    </row>
    <row r="164">
      <c r="A164" s="7" t="inlineStr">
        <is>
          <t>Mission Street Taco Flour Tortillas</t>
        </is>
      </c>
      <c r="B164" s="6" t="n">
        <v>6</v>
      </c>
      <c r="C164" s="6" t="n">
        <v>8</v>
      </c>
      <c r="D164" s="6" t="n">
        <v>6</v>
      </c>
      <c r="E164" s="6" t="n">
        <v>75</v>
      </c>
      <c r="F164" s="40">
        <f>B164*E164</f>
        <v/>
      </c>
      <c r="G164" s="40">
        <f>C164*E164</f>
        <v/>
      </c>
      <c r="H164" s="40">
        <f>D164*E164</f>
        <v/>
      </c>
      <c r="I164" s="41" t="n">
        <v>0.25</v>
      </c>
      <c r="J164" s="41">
        <f>B164*I164</f>
        <v/>
      </c>
      <c r="K164" s="41">
        <f>C164*I164</f>
        <v/>
      </c>
      <c r="L164" s="41">
        <f>D164*I164</f>
        <v/>
      </c>
      <c r="M164" s="6" t="n">
        <v>0.5</v>
      </c>
      <c r="N164" s="42">
        <f>B164*M164</f>
        <v/>
      </c>
      <c r="O164" s="42">
        <f>C164*M164</f>
        <v/>
      </c>
      <c r="P164" s="42">
        <f>D164*M164</f>
        <v/>
      </c>
      <c r="Q164" s="7" t="inlineStr">
        <is>
          <t>2/person; nut-free ✓</t>
        </is>
      </c>
    </row>
    <row r="165">
      <c r="A165" s="10" t="inlineStr">
        <is>
          <t>Tillamook Cheddar Cheese Packets</t>
        </is>
      </c>
      <c r="B165" s="9" t="n">
        <v>3</v>
      </c>
      <c r="C165" s="9" t="n">
        <v>4</v>
      </c>
      <c r="D165" s="9" t="n">
        <v>3</v>
      </c>
      <c r="E165" s="9" t="n">
        <v>90</v>
      </c>
      <c r="F165" s="37">
        <f>B165*E165</f>
        <v/>
      </c>
      <c r="G165" s="37">
        <f>C165*E165</f>
        <v/>
      </c>
      <c r="H165" s="37">
        <f>D165*E165</f>
        <v/>
      </c>
      <c r="I165" s="38" t="n">
        <v>0.75</v>
      </c>
      <c r="J165" s="38">
        <f>B165*I165</f>
        <v/>
      </c>
      <c r="K165" s="38">
        <f>C165*I165</f>
        <v/>
      </c>
      <c r="L165" s="38">
        <f>D165*I165</f>
        <v/>
      </c>
      <c r="M165" s="9" t="n">
        <v>0.7</v>
      </c>
      <c r="N165" s="39">
        <f>B165*M165</f>
        <v/>
      </c>
      <c r="O165" s="39">
        <f>C165*M165</f>
        <v/>
      </c>
      <c r="P165" s="39">
        <f>D165*M165</f>
        <v/>
      </c>
      <c r="Q165" s="10" t="inlineStr">
        <is>
          <t>1/person; nut-free ✓</t>
        </is>
      </c>
    </row>
    <row r="166">
      <c r="A166" s="32" t="inlineStr">
        <is>
          <t>Clif Bar – Crunchy PB</t>
        </is>
      </c>
      <c r="B166" s="33" t="n">
        <v>3</v>
      </c>
      <c r="C166" s="33" t="n">
        <v>4</v>
      </c>
      <c r="D166" s="33" t="n">
        <v>3</v>
      </c>
      <c r="E166" s="33" t="n">
        <v>250</v>
      </c>
      <c r="F166" s="34">
        <f>B166*E166</f>
        <v/>
      </c>
      <c r="G166" s="34">
        <f>C166*E166</f>
        <v/>
      </c>
      <c r="H166" s="34">
        <f>D166*E166</f>
        <v/>
      </c>
      <c r="I166" s="35" t="n">
        <v>1.29</v>
      </c>
      <c r="J166" s="35">
        <f>B166*I166</f>
        <v/>
      </c>
      <c r="K166" s="35">
        <f>C166*I166</f>
        <v/>
      </c>
      <c r="L166" s="35">
        <f>D166*I166</f>
        <v/>
      </c>
      <c r="M166" s="33" t="n">
        <v>2.4</v>
      </c>
      <c r="N166" s="36">
        <f>B166*M166</f>
        <v/>
      </c>
      <c r="O166" s="36">
        <f>C166*M166</f>
        <v/>
      </c>
      <c r="P166" s="36">
        <f>D166*M166</f>
        <v/>
      </c>
      <c r="Q166" s="32" t="inlineStr">
        <is>
          <t>Lunch snack; ⚠ NUT</t>
        </is>
      </c>
    </row>
    <row r="167">
      <c r="A167" s="32" t="inlineStr">
        <is>
          <t>Justin's Classic PB Squeeze Pack</t>
        </is>
      </c>
      <c r="B167" s="33" t="n">
        <v>3</v>
      </c>
      <c r="C167" s="33" t="n">
        <v>4</v>
      </c>
      <c r="D167" s="33" t="n">
        <v>3</v>
      </c>
      <c r="E167" s="33" t="n">
        <v>190</v>
      </c>
      <c r="F167" s="34">
        <f>B167*E167</f>
        <v/>
      </c>
      <c r="G167" s="34">
        <f>C167*E167</f>
        <v/>
      </c>
      <c r="H167" s="34">
        <f>D167*E167</f>
        <v/>
      </c>
      <c r="I167" s="35" t="n">
        <v>1.49</v>
      </c>
      <c r="J167" s="35">
        <f>B167*I167</f>
        <v/>
      </c>
      <c r="K167" s="35">
        <f>C167*I167</f>
        <v/>
      </c>
      <c r="L167" s="35">
        <f>D167*I167</f>
        <v/>
      </c>
      <c r="M167" s="33" t="n">
        <v>1.15</v>
      </c>
      <c r="N167" s="36">
        <f>B167*M167</f>
        <v/>
      </c>
      <c r="O167" s="36">
        <f>C167*M167</f>
        <v/>
      </c>
      <c r="P167" s="36">
        <f>D167*M167</f>
        <v/>
      </c>
      <c r="Q167" s="32" t="inlineStr">
        <is>
          <t>Lunch side; ⚠ NUT</t>
        </is>
      </c>
    </row>
    <row r="168">
      <c r="A168" s="43" t="inlineStr">
        <is>
          <t xml:space="preserve">  LUNCH Total</t>
        </is>
      </c>
      <c r="B168" s="44" t="n"/>
      <c r="C168" s="44" t="n"/>
      <c r="D168" s="44" t="n"/>
      <c r="E168" s="44" t="n"/>
      <c r="F168" s="45">
        <f>SUM(F163:F167)</f>
        <v/>
      </c>
      <c r="G168" s="45">
        <f>SUM(G163:G167)</f>
        <v/>
      </c>
      <c r="H168" s="45">
        <f>SUM(H163:H167)</f>
        <v/>
      </c>
      <c r="I168" s="43" t="n"/>
      <c r="J168" s="46">
        <f>SUM(J163:J167)</f>
        <v/>
      </c>
      <c r="K168" s="46">
        <f>SUM(K163:K167)</f>
        <v/>
      </c>
      <c r="L168" s="46">
        <f>SUM(L163:L167)</f>
        <v/>
      </c>
      <c r="M168" s="44" t="n"/>
      <c r="N168" s="47">
        <f>SUM(N163:N167)</f>
        <v/>
      </c>
      <c r="O168" s="47">
        <f>SUM(O163:O167)</f>
        <v/>
      </c>
      <c r="P168" s="47">
        <f>SUM(P163:P167)</f>
        <v/>
      </c>
      <c r="Q168" s="43" t="n"/>
    </row>
    <row r="169" ht="24" customHeight="1">
      <c r="A169" s="30" t="inlineStr">
        <is>
          <t xml:space="preserve">  Wed Jul 29 — SUPPLEMENT</t>
        </is>
      </c>
    </row>
    <row r="170" ht="30" customHeight="1">
      <c r="A170" s="31" t="inlineStr">
        <is>
          <t>Food Item</t>
        </is>
      </c>
      <c r="B170" s="31" t="inlineStr">
        <is>
          <t>Qty
(Scout 3)</t>
        </is>
      </c>
      <c r="C170" s="31" t="inlineStr">
        <is>
          <t>Qty
(Scout 4)</t>
        </is>
      </c>
      <c r="D170" s="31" t="inlineStr">
        <is>
          <t>Qty
(Adult 3)</t>
        </is>
      </c>
      <c r="E170" s="31" t="inlineStr">
        <is>
          <t>kcal/unit</t>
        </is>
      </c>
      <c r="F170" s="31" t="inlineStr">
        <is>
          <t>Scout 3
kcal</t>
        </is>
      </c>
      <c r="G170" s="31" t="inlineStr">
        <is>
          <t>Scout 4
kcal</t>
        </is>
      </c>
      <c r="H170" s="31" t="inlineStr">
        <is>
          <t>Adult 3
kcal</t>
        </is>
      </c>
      <c r="I170" s="31" t="inlineStr">
        <is>
          <t>$/unit</t>
        </is>
      </c>
      <c r="J170" s="31" t="inlineStr">
        <is>
          <t>Scout 3
$</t>
        </is>
      </c>
      <c r="K170" s="31" t="inlineStr">
        <is>
          <t>Scout 4
$</t>
        </is>
      </c>
      <c r="L170" s="31" t="inlineStr">
        <is>
          <t>Adult 3
$</t>
        </is>
      </c>
      <c r="M170" s="31" t="inlineStr">
        <is>
          <t>oz/unit</t>
        </is>
      </c>
      <c r="N170" s="31" t="inlineStr">
        <is>
          <t>Scout 3
oz</t>
        </is>
      </c>
      <c r="O170" s="31" t="inlineStr">
        <is>
          <t>Scout 4
oz</t>
        </is>
      </c>
      <c r="P170" s="31" t="inlineStr">
        <is>
          <t>Adult 3
oz</t>
        </is>
      </c>
      <c r="Q170" s="31" t="inlineStr">
        <is>
          <t>Notes</t>
        </is>
      </c>
    </row>
    <row r="171">
      <c r="A171" s="32" t="inlineStr">
        <is>
          <t>Clif Builder's Bar (adult supplement)</t>
        </is>
      </c>
      <c r="B171" s="33" t="n">
        <v>0</v>
      </c>
      <c r="C171" s="33" t="n">
        <v>0</v>
      </c>
      <c r="D171" s="33" t="n">
        <v>3</v>
      </c>
      <c r="E171" s="33" t="n">
        <v>290</v>
      </c>
      <c r="F171" s="34">
        <f>B171*E171</f>
        <v/>
      </c>
      <c r="G171" s="34">
        <f>C171*E171</f>
        <v/>
      </c>
      <c r="H171" s="34">
        <f>D171*E171</f>
        <v/>
      </c>
      <c r="I171" s="35" t="n">
        <v>2.17</v>
      </c>
      <c r="J171" s="35">
        <f>B171*I171</f>
        <v/>
      </c>
      <c r="K171" s="35">
        <f>C171*I171</f>
        <v/>
      </c>
      <c r="L171" s="35">
        <f>D171*I171</f>
        <v/>
      </c>
      <c r="M171" s="33" t="n">
        <v>2.4</v>
      </c>
      <c r="N171" s="36">
        <f>B171*M171</f>
        <v/>
      </c>
      <c r="O171" s="36">
        <f>C171*M171</f>
        <v/>
      </c>
      <c r="P171" s="36">
        <f>D171*M171</f>
        <v/>
      </c>
      <c r="Q171" s="32" t="inlineStr">
        <is>
          <t>Adults only ★; ⚠ NUT</t>
        </is>
      </c>
    </row>
    <row r="172">
      <c r="A172" s="32" t="inlineStr">
        <is>
          <t>Justin's PB Squeeze (adult supplement)</t>
        </is>
      </c>
      <c r="B172" s="33" t="n">
        <v>0</v>
      </c>
      <c r="C172" s="33" t="n">
        <v>0</v>
      </c>
      <c r="D172" s="33" t="n">
        <v>3</v>
      </c>
      <c r="E172" s="33" t="n">
        <v>190</v>
      </c>
      <c r="F172" s="34">
        <f>B172*E172</f>
        <v/>
      </c>
      <c r="G172" s="34">
        <f>C172*E172</f>
        <v/>
      </c>
      <c r="H172" s="34">
        <f>D172*E172</f>
        <v/>
      </c>
      <c r="I172" s="35" t="n">
        <v>1.49</v>
      </c>
      <c r="J172" s="35">
        <f>B172*I172</f>
        <v/>
      </c>
      <c r="K172" s="35">
        <f>C172*I172</f>
        <v/>
      </c>
      <c r="L172" s="35">
        <f>D172*I172</f>
        <v/>
      </c>
      <c r="M172" s="33" t="n">
        <v>1.15</v>
      </c>
      <c r="N172" s="36">
        <f>B172*M172</f>
        <v/>
      </c>
      <c r="O172" s="36">
        <f>C172*M172</f>
        <v/>
      </c>
      <c r="P172" s="36">
        <f>D172*M172</f>
        <v/>
      </c>
      <c r="Q172" s="32" t="inlineStr">
        <is>
          <t>Adults only ★; ⚠ NUT</t>
        </is>
      </c>
    </row>
    <row r="173">
      <c r="A173" s="43" t="inlineStr">
        <is>
          <t xml:space="preserve">  SUPPLEMENT Total</t>
        </is>
      </c>
      <c r="B173" s="44" t="n"/>
      <c r="C173" s="44" t="n"/>
      <c r="D173" s="44" t="n"/>
      <c r="E173" s="44" t="n"/>
      <c r="F173" s="45">
        <f>SUM(F171:F172)</f>
        <v/>
      </c>
      <c r="G173" s="45">
        <f>SUM(G171:G172)</f>
        <v/>
      </c>
      <c r="H173" s="45">
        <f>SUM(H171:H172)</f>
        <v/>
      </c>
      <c r="I173" s="43" t="n"/>
      <c r="J173" s="46">
        <f>SUM(J171:J172)</f>
        <v/>
      </c>
      <c r="K173" s="46">
        <f>SUM(K171:K172)</f>
        <v/>
      </c>
      <c r="L173" s="46">
        <f>SUM(L171:L172)</f>
        <v/>
      </c>
      <c r="M173" s="44" t="n"/>
      <c r="N173" s="47">
        <f>SUM(N171:N172)</f>
        <v/>
      </c>
      <c r="O173" s="47">
        <f>SUM(O171:O172)</f>
        <v/>
      </c>
      <c r="P173" s="47">
        <f>SUM(P171:P172)</f>
        <v/>
      </c>
      <c r="Q173" s="43" t="n"/>
    </row>
    <row r="174" ht="24" customHeight="1">
      <c r="A174" s="30" t="inlineStr">
        <is>
          <t xml:space="preserve">  Wed Jul 29 — DINNER</t>
        </is>
      </c>
    </row>
    <row r="175" ht="30" customHeight="1">
      <c r="A175" s="31" t="inlineStr">
        <is>
          <t>Food Item</t>
        </is>
      </c>
      <c r="B175" s="31" t="inlineStr">
        <is>
          <t>Qty
(Scout 3)</t>
        </is>
      </c>
      <c r="C175" s="31" t="inlineStr">
        <is>
          <t>Qty
(Scout 4)</t>
        </is>
      </c>
      <c r="D175" s="31" t="inlineStr">
        <is>
          <t>Qty
(Adult 3)</t>
        </is>
      </c>
      <c r="E175" s="31" t="inlineStr">
        <is>
          <t>kcal/unit</t>
        </is>
      </c>
      <c r="F175" s="31" t="inlineStr">
        <is>
          <t>Scout 3
kcal</t>
        </is>
      </c>
      <c r="G175" s="31" t="inlineStr">
        <is>
          <t>Scout 4
kcal</t>
        </is>
      </c>
      <c r="H175" s="31" t="inlineStr">
        <is>
          <t>Adult 3
kcal</t>
        </is>
      </c>
      <c r="I175" s="31" t="inlineStr">
        <is>
          <t>$/unit</t>
        </is>
      </c>
      <c r="J175" s="31" t="inlineStr">
        <is>
          <t>Scout 3
$</t>
        </is>
      </c>
      <c r="K175" s="31" t="inlineStr">
        <is>
          <t>Scout 4
$</t>
        </is>
      </c>
      <c r="L175" s="31" t="inlineStr">
        <is>
          <t>Adult 3
$</t>
        </is>
      </c>
      <c r="M175" s="31" t="inlineStr">
        <is>
          <t>oz/unit</t>
        </is>
      </c>
      <c r="N175" s="31" t="inlineStr">
        <is>
          <t>Scout 3
oz</t>
        </is>
      </c>
      <c r="O175" s="31" t="inlineStr">
        <is>
          <t>Scout 4
oz</t>
        </is>
      </c>
      <c r="P175" s="31" t="inlineStr">
        <is>
          <t>Adult 3
oz</t>
        </is>
      </c>
      <c r="Q175" s="31" t="inlineStr">
        <is>
          <t>Notes</t>
        </is>
      </c>
    </row>
    <row r="176">
      <c r="A176" s="7" t="inlineStr">
        <is>
          <t>Peak Refuel – Beef Pasta Marinara</t>
        </is>
      </c>
      <c r="B176" s="6" t="n">
        <v>2</v>
      </c>
      <c r="C176" s="6" t="n">
        <v>3</v>
      </c>
      <c r="D176" s="6" t="n">
        <v>3</v>
      </c>
      <c r="E176" s="6" t="n">
        <v>780</v>
      </c>
      <c r="F176" s="40">
        <f>B176*E176</f>
        <v/>
      </c>
      <c r="G176" s="40">
        <f>C176*E176</f>
        <v/>
      </c>
      <c r="H176" s="40">
        <f>D176*E176</f>
        <v/>
      </c>
      <c r="I176" s="41" t="n">
        <v>7.49</v>
      </c>
      <c r="J176" s="41">
        <f>B176*I176</f>
        <v/>
      </c>
      <c r="K176" s="41">
        <f>C176*I176</f>
        <v/>
      </c>
      <c r="L176" s="41">
        <f>D176*I176</f>
        <v/>
      </c>
      <c r="M176" s="6" t="n">
        <v>3.2</v>
      </c>
      <c r="N176" s="42">
        <f>B176*M176</f>
        <v/>
      </c>
      <c r="O176" s="42">
        <f>C176*M176</f>
        <v/>
      </c>
      <c r="P176" s="42">
        <f>D176*M176</f>
        <v/>
      </c>
      <c r="Q176" s="7" t="inlineStr">
        <is>
          <t>Wed dinner (1.5 svgs/pouch)</t>
        </is>
      </c>
    </row>
    <row r="177">
      <c r="A177" s="10" t="inlineStr">
        <is>
          <t>Mission Street Taco Flour Tortillas</t>
        </is>
      </c>
      <c r="B177" s="9" t="n">
        <v>6</v>
      </c>
      <c r="C177" s="9" t="n">
        <v>8</v>
      </c>
      <c r="D177" s="9" t="n">
        <v>6</v>
      </c>
      <c r="E177" s="9" t="n">
        <v>75</v>
      </c>
      <c r="F177" s="37">
        <f>B177*E177</f>
        <v/>
      </c>
      <c r="G177" s="37">
        <f>C177*E177</f>
        <v/>
      </c>
      <c r="H177" s="37">
        <f>D177*E177</f>
        <v/>
      </c>
      <c r="I177" s="38" t="n">
        <v>0.25</v>
      </c>
      <c r="J177" s="38">
        <f>B177*I177</f>
        <v/>
      </c>
      <c r="K177" s="38">
        <f>C177*I177</f>
        <v/>
      </c>
      <c r="L177" s="38">
        <f>D177*I177</f>
        <v/>
      </c>
      <c r="M177" s="9" t="n">
        <v>0.5</v>
      </c>
      <c r="N177" s="39">
        <f>B177*M177</f>
        <v/>
      </c>
      <c r="O177" s="39">
        <f>C177*M177</f>
        <v/>
      </c>
      <c r="P177" s="39">
        <f>D177*M177</f>
        <v/>
      </c>
      <c r="Q177" s="10" t="inlineStr">
        <is>
          <t>2/person; nut-free ✓</t>
        </is>
      </c>
    </row>
    <row r="178">
      <c r="A178" s="7" t="inlineStr">
        <is>
          <t>Tillamook Cheddar Cheese Packets</t>
        </is>
      </c>
      <c r="B178" s="6" t="n">
        <v>6</v>
      </c>
      <c r="C178" s="6" t="n">
        <v>8</v>
      </c>
      <c r="D178" s="6" t="n">
        <v>6</v>
      </c>
      <c r="E178" s="6" t="n">
        <v>90</v>
      </c>
      <c r="F178" s="40">
        <f>B178*E178</f>
        <v/>
      </c>
      <c r="G178" s="40">
        <f>C178*E178</f>
        <v/>
      </c>
      <c r="H178" s="40">
        <f>D178*E178</f>
        <v/>
      </c>
      <c r="I178" s="41" t="n">
        <v>0.75</v>
      </c>
      <c r="J178" s="41">
        <f>B178*I178</f>
        <v/>
      </c>
      <c r="K178" s="41">
        <f>C178*I178</f>
        <v/>
      </c>
      <c r="L178" s="41">
        <f>D178*I178</f>
        <v/>
      </c>
      <c r="M178" s="6" t="n">
        <v>0.7</v>
      </c>
      <c r="N178" s="42">
        <f>B178*M178</f>
        <v/>
      </c>
      <c r="O178" s="42">
        <f>C178*M178</f>
        <v/>
      </c>
      <c r="P178" s="42">
        <f>D178*M178</f>
        <v/>
      </c>
      <c r="Q178" s="7" t="inlineStr">
        <is>
          <t>2/person; nut-free ✓</t>
        </is>
      </c>
    </row>
    <row r="179">
      <c r="A179" s="10" t="inlineStr">
        <is>
          <t>Swiss Miss Hot Chocolate</t>
        </is>
      </c>
      <c r="B179" s="9" t="n">
        <v>6</v>
      </c>
      <c r="C179" s="9" t="n">
        <v>8</v>
      </c>
      <c r="D179" s="9" t="n">
        <v>0</v>
      </c>
      <c r="E179" s="9" t="n">
        <v>90</v>
      </c>
      <c r="F179" s="37">
        <f>B179*E179</f>
        <v/>
      </c>
      <c r="G179" s="37">
        <f>C179*E179</f>
        <v/>
      </c>
      <c r="H179" s="37">
        <f>D179*E179</f>
        <v/>
      </c>
      <c r="I179" s="38" t="n">
        <v>0.38</v>
      </c>
      <c r="J179" s="38">
        <f>B179*I179</f>
        <v/>
      </c>
      <c r="K179" s="38">
        <f>C179*I179</f>
        <v/>
      </c>
      <c r="L179" s="38">
        <f>D179*I179</f>
        <v/>
      </c>
      <c r="M179" s="9" t="n">
        <v>0.73</v>
      </c>
      <c r="N179" s="39">
        <f>B179*M179</f>
        <v/>
      </c>
      <c r="O179" s="39">
        <f>C179*M179</f>
        <v/>
      </c>
      <c r="P179" s="39">
        <f>D179*M179</f>
        <v/>
      </c>
      <c r="Q179" s="10" t="inlineStr">
        <is>
          <t>Scouts only (2 packets/person)</t>
        </is>
      </c>
    </row>
    <row r="180">
      <c r="A180" s="43" t="inlineStr">
        <is>
          <t xml:space="preserve">  DINNER Total</t>
        </is>
      </c>
      <c r="B180" s="44" t="n"/>
      <c r="C180" s="44" t="n"/>
      <c r="D180" s="44" t="n"/>
      <c r="E180" s="44" t="n"/>
      <c r="F180" s="45">
        <f>SUM(F176:F179)</f>
        <v/>
      </c>
      <c r="G180" s="45">
        <f>SUM(G176:G179)</f>
        <v/>
      </c>
      <c r="H180" s="45">
        <f>SUM(H176:H179)</f>
        <v/>
      </c>
      <c r="I180" s="43" t="n"/>
      <c r="J180" s="46">
        <f>SUM(J176:J179)</f>
        <v/>
      </c>
      <c r="K180" s="46">
        <f>SUM(K176:K179)</f>
        <v/>
      </c>
      <c r="L180" s="46">
        <f>SUM(L176:L179)</f>
        <v/>
      </c>
      <c r="M180" s="44" t="n"/>
      <c r="N180" s="47">
        <f>SUM(N176:N179)</f>
        <v/>
      </c>
      <c r="O180" s="47">
        <f>SUM(O176:O179)</f>
        <v/>
      </c>
      <c r="P180" s="47">
        <f>SUM(P176:P179)</f>
        <v/>
      </c>
      <c r="Q180" s="43" t="n"/>
    </row>
    <row r="181" ht="24" customHeight="1">
      <c r="A181" s="30" t="inlineStr">
        <is>
          <t xml:space="preserve">  Wed Jul 29 — DESSERT</t>
        </is>
      </c>
    </row>
    <row r="182" ht="30" customHeight="1">
      <c r="A182" s="31" t="inlineStr">
        <is>
          <t>Food Item</t>
        </is>
      </c>
      <c r="B182" s="31" t="inlineStr">
        <is>
          <t>Qty
(Scout 3)</t>
        </is>
      </c>
      <c r="C182" s="31" t="inlineStr">
        <is>
          <t>Qty
(Scout 4)</t>
        </is>
      </c>
      <c r="D182" s="31" t="inlineStr">
        <is>
          <t>Qty
(Adult 3)</t>
        </is>
      </c>
      <c r="E182" s="31" t="inlineStr">
        <is>
          <t>kcal/unit</t>
        </is>
      </c>
      <c r="F182" s="31" t="inlineStr">
        <is>
          <t>Scout 3
kcal</t>
        </is>
      </c>
      <c r="G182" s="31" t="inlineStr">
        <is>
          <t>Scout 4
kcal</t>
        </is>
      </c>
      <c r="H182" s="31" t="inlineStr">
        <is>
          <t>Adult 3
kcal</t>
        </is>
      </c>
      <c r="I182" s="31" t="inlineStr">
        <is>
          <t>$/unit</t>
        </is>
      </c>
      <c r="J182" s="31" t="inlineStr">
        <is>
          <t>Scout 3
$</t>
        </is>
      </c>
      <c r="K182" s="31" t="inlineStr">
        <is>
          <t>Scout 4
$</t>
        </is>
      </c>
      <c r="L182" s="31" t="inlineStr">
        <is>
          <t>Adult 3
$</t>
        </is>
      </c>
      <c r="M182" s="31" t="inlineStr">
        <is>
          <t>oz/unit</t>
        </is>
      </c>
      <c r="N182" s="31" t="inlineStr">
        <is>
          <t>Scout 3
oz</t>
        </is>
      </c>
      <c r="O182" s="31" t="inlineStr">
        <is>
          <t>Scout 4
oz</t>
        </is>
      </c>
      <c r="P182" s="31" t="inlineStr">
        <is>
          <t>Adult 3
oz</t>
        </is>
      </c>
      <c r="Q182" s="31" t="inlineStr">
        <is>
          <t>Notes</t>
        </is>
      </c>
    </row>
    <row r="183">
      <c r="A183" s="10" t="inlineStr">
        <is>
          <t>Backpacker's Pantry – Crème Brûlée</t>
        </is>
      </c>
      <c r="B183" s="9" t="n">
        <v>2</v>
      </c>
      <c r="C183" s="9" t="n">
        <v>2</v>
      </c>
      <c r="D183" s="9" t="n">
        <v>2</v>
      </c>
      <c r="E183" s="9" t="n">
        <v>620</v>
      </c>
      <c r="F183" s="37">
        <f>B183*E183</f>
        <v/>
      </c>
      <c r="G183" s="37">
        <f>C183*E183</f>
        <v/>
      </c>
      <c r="H183" s="37">
        <f>D183*E183</f>
        <v/>
      </c>
      <c r="I183" s="38" t="n">
        <v>8.99</v>
      </c>
      <c r="J183" s="38">
        <f>B183*I183</f>
        <v/>
      </c>
      <c r="K183" s="38">
        <f>C183*I183</f>
        <v/>
      </c>
      <c r="L183" s="38">
        <f>D183*I183</f>
        <v/>
      </c>
      <c r="M183" s="9" t="n">
        <v>2.26</v>
      </c>
      <c r="N183" s="39">
        <f>B183*M183</f>
        <v/>
      </c>
      <c r="O183" s="39">
        <f>C183*M183</f>
        <v/>
      </c>
      <c r="P183" s="39">
        <f>D183*M183</f>
        <v/>
      </c>
      <c r="Q183" s="10" t="inlineStr">
        <is>
          <t>Buddy-pair shares pouch</t>
        </is>
      </c>
    </row>
    <row r="184">
      <c r="A184" s="7" t="inlineStr">
        <is>
          <t>Swiss Miss Hot Chocolate</t>
        </is>
      </c>
      <c r="B184" s="6" t="n">
        <v>6</v>
      </c>
      <c r="C184" s="6" t="n">
        <v>8</v>
      </c>
      <c r="D184" s="6" t="n">
        <v>0</v>
      </c>
      <c r="E184" s="6" t="n">
        <v>90</v>
      </c>
      <c r="F184" s="40">
        <f>B184*E184</f>
        <v/>
      </c>
      <c r="G184" s="40">
        <f>C184*E184</f>
        <v/>
      </c>
      <c r="H184" s="40">
        <f>D184*E184</f>
        <v/>
      </c>
      <c r="I184" s="41" t="n">
        <v>0.38</v>
      </c>
      <c r="J184" s="41">
        <f>B184*I184</f>
        <v/>
      </c>
      <c r="K184" s="41">
        <f>C184*I184</f>
        <v/>
      </c>
      <c r="L184" s="41">
        <f>D184*I184</f>
        <v/>
      </c>
      <c r="M184" s="6" t="n">
        <v>0.73</v>
      </c>
      <c r="N184" s="42">
        <f>B184*M184</f>
        <v/>
      </c>
      <c r="O184" s="42">
        <f>C184*M184</f>
        <v/>
      </c>
      <c r="P184" s="42">
        <f>D184*M184</f>
        <v/>
      </c>
      <c r="Q184" s="7" t="inlineStr">
        <is>
          <t>Scouts only (2 packets/person)</t>
        </is>
      </c>
    </row>
    <row r="185">
      <c r="A185" s="43" t="inlineStr">
        <is>
          <t xml:space="preserve">  DESSERT Total</t>
        </is>
      </c>
      <c r="B185" s="44" t="n"/>
      <c r="C185" s="44" t="n"/>
      <c r="D185" s="44" t="n"/>
      <c r="E185" s="44" t="n"/>
      <c r="F185" s="45">
        <f>SUM(F183:F184)</f>
        <v/>
      </c>
      <c r="G185" s="45">
        <f>SUM(G183:G184)</f>
        <v/>
      </c>
      <c r="H185" s="45">
        <f>SUM(H183:H184)</f>
        <v/>
      </c>
      <c r="I185" s="43" t="n"/>
      <c r="J185" s="46">
        <f>SUM(J183:J184)</f>
        <v/>
      </c>
      <c r="K185" s="46">
        <f>SUM(K183:K184)</f>
        <v/>
      </c>
      <c r="L185" s="46">
        <f>SUM(L183:L184)</f>
        <v/>
      </c>
      <c r="M185" s="44" t="n"/>
      <c r="N185" s="47">
        <f>SUM(N183:N184)</f>
        <v/>
      </c>
      <c r="O185" s="47">
        <f>SUM(O183:O184)</f>
        <v/>
      </c>
      <c r="P185" s="47">
        <f>SUM(P183:P184)</f>
        <v/>
      </c>
      <c r="Q185" s="43" t="n"/>
    </row>
    <row r="186">
      <c r="A186" s="48" t="inlineStr">
        <is>
          <t>DAY 5 (Wed Jul 29) TOTAL</t>
        </is>
      </c>
      <c r="B186" s="48" t="n"/>
      <c r="C186" s="48" t="n"/>
      <c r="D186" s="48" t="n"/>
      <c r="E186" s="48" t="n"/>
      <c r="F186" s="49">
        <f>SUM(F152,F160,F168,F173,F180,F185)</f>
        <v/>
      </c>
      <c r="G186" s="49">
        <f>SUM(G152,G160,G168,G173,G180,G185)</f>
        <v/>
      </c>
      <c r="H186" s="49">
        <f>SUM(H152,H160,H168,H173,H180,H185)</f>
        <v/>
      </c>
      <c r="I186" s="48" t="n"/>
      <c r="J186" s="50">
        <f>SUM(J152,J160,J168,J173,J180,J185)</f>
        <v/>
      </c>
      <c r="K186" s="50">
        <f>SUM(K152,K160,K168,K173,K180,K185)</f>
        <v/>
      </c>
      <c r="L186" s="50">
        <f>SUM(L152,L160,L168,L173,L180,L185)</f>
        <v/>
      </c>
      <c r="M186" s="48" t="n"/>
      <c r="N186" s="51">
        <f>SUM(N152,N160,N168,N173,N180,N185)</f>
        <v/>
      </c>
      <c r="O186" s="51">
        <f>SUM(O152,O160,O168,O173,O180,O185)</f>
        <v/>
      </c>
      <c r="P186" s="51">
        <f>SUM(P152,P160,P168,P173,P180,P185)</f>
        <v/>
      </c>
      <c r="Q186" s="48" t="n"/>
    </row>
    <row r="187"/>
    <row r="188" ht="24" customHeight="1">
      <c r="A188" s="28" t="inlineStr">
        <is>
          <t>THU JUL 30 — DAY 6 DETAILS</t>
        </is>
      </c>
    </row>
    <row r="189" ht="24" customHeight="1">
      <c r="A189" s="30" t="inlineStr">
        <is>
          <t xml:space="preserve">  Thu Jul 30 — BREAKFAST</t>
        </is>
      </c>
    </row>
    <row r="190" ht="30" customHeight="1">
      <c r="A190" s="31" t="inlineStr">
        <is>
          <t>Food Item</t>
        </is>
      </c>
      <c r="B190" s="31" t="inlineStr">
        <is>
          <t>Qty
(Scout 3)</t>
        </is>
      </c>
      <c r="C190" s="31" t="inlineStr">
        <is>
          <t>Qty
(Scout 4)</t>
        </is>
      </c>
      <c r="D190" s="31" t="inlineStr">
        <is>
          <t>Qty
(Adult 3)</t>
        </is>
      </c>
      <c r="E190" s="31" t="inlineStr">
        <is>
          <t>kcal/unit</t>
        </is>
      </c>
      <c r="F190" s="31" t="inlineStr">
        <is>
          <t>Scout 3
kcal</t>
        </is>
      </c>
      <c r="G190" s="31" t="inlineStr">
        <is>
          <t>Scout 4
kcal</t>
        </is>
      </c>
      <c r="H190" s="31" t="inlineStr">
        <is>
          <t>Adult 3
kcal</t>
        </is>
      </c>
      <c r="I190" s="31" t="inlineStr">
        <is>
          <t>$/unit</t>
        </is>
      </c>
      <c r="J190" s="31" t="inlineStr">
        <is>
          <t>Scout 3
$</t>
        </is>
      </c>
      <c r="K190" s="31" t="inlineStr">
        <is>
          <t>Scout 4
$</t>
        </is>
      </c>
      <c r="L190" s="31" t="inlineStr">
        <is>
          <t>Adult 3
$</t>
        </is>
      </c>
      <c r="M190" s="31" t="inlineStr">
        <is>
          <t>oz/unit</t>
        </is>
      </c>
      <c r="N190" s="31" t="inlineStr">
        <is>
          <t>Scout 3
oz</t>
        </is>
      </c>
      <c r="O190" s="31" t="inlineStr">
        <is>
          <t>Scout 4
oz</t>
        </is>
      </c>
      <c r="P190" s="31" t="inlineStr">
        <is>
          <t>Adult 3
oz</t>
        </is>
      </c>
      <c r="Q190" s="31" t="inlineStr">
        <is>
          <t>Notes</t>
        </is>
      </c>
    </row>
    <row r="191">
      <c r="A191" s="32" t="inlineStr">
        <is>
          <t>MET-Rx Big100 – Super Cookie Crunch</t>
        </is>
      </c>
      <c r="B191" s="33" t="n">
        <v>3</v>
      </c>
      <c r="C191" s="33" t="n">
        <v>4</v>
      </c>
      <c r="D191" s="33" t="n">
        <v>3</v>
      </c>
      <c r="E191" s="33" t="n">
        <v>410</v>
      </c>
      <c r="F191" s="34">
        <f>B191*E191</f>
        <v/>
      </c>
      <c r="G191" s="34">
        <f>C191*E191</f>
        <v/>
      </c>
      <c r="H191" s="34">
        <f>D191*E191</f>
        <v/>
      </c>
      <c r="I191" s="35" t="n">
        <v>2.19</v>
      </c>
      <c r="J191" s="35">
        <f>B191*I191</f>
        <v/>
      </c>
      <c r="K191" s="35">
        <f>C191*I191</f>
        <v/>
      </c>
      <c r="L191" s="35">
        <f>D191*I191</f>
        <v/>
      </c>
      <c r="M191" s="33" t="n">
        <v>3.53</v>
      </c>
      <c r="N191" s="36">
        <f>B191*M191</f>
        <v/>
      </c>
      <c r="O191" s="36">
        <f>C191*M191</f>
        <v/>
      </c>
      <c r="P191" s="36">
        <f>D191*M191</f>
        <v/>
      </c>
      <c r="Q191" s="32" t="inlineStr">
        <is>
          <t>Bkfst · ⚠ NUT</t>
        </is>
      </c>
    </row>
    <row r="192">
      <c r="A192" s="7" t="inlineStr">
        <is>
          <t>Swiss Miss Hot Chocolate</t>
        </is>
      </c>
      <c r="B192" s="6" t="n">
        <v>6</v>
      </c>
      <c r="C192" s="6" t="n">
        <v>8</v>
      </c>
      <c r="D192" s="6" t="n">
        <v>0</v>
      </c>
      <c r="E192" s="6" t="n">
        <v>90</v>
      </c>
      <c r="F192" s="40">
        <f>B192*E192</f>
        <v/>
      </c>
      <c r="G192" s="40">
        <f>C192*E192</f>
        <v/>
      </c>
      <c r="H192" s="40">
        <f>D192*E192</f>
        <v/>
      </c>
      <c r="I192" s="41" t="n">
        <v>0.38</v>
      </c>
      <c r="J192" s="41">
        <f>B192*I192</f>
        <v/>
      </c>
      <c r="K192" s="41">
        <f>C192*I192</f>
        <v/>
      </c>
      <c r="L192" s="41">
        <f>D192*I192</f>
        <v/>
      </c>
      <c r="M192" s="6" t="n">
        <v>0.73</v>
      </c>
      <c r="N192" s="42">
        <f>B192*M192</f>
        <v/>
      </c>
      <c r="O192" s="42">
        <f>C192*M192</f>
        <v/>
      </c>
      <c r="P192" s="42">
        <f>D192*M192</f>
        <v/>
      </c>
      <c r="Q192" s="7" t="inlineStr">
        <is>
          <t>Scouts only (2 packets/person)</t>
        </is>
      </c>
    </row>
    <row r="193">
      <c r="A193" s="52" t="inlineStr">
        <is>
          <t>Adults: own coffee / tea</t>
        </is>
      </c>
      <c r="B193" s="53" t="n">
        <v>0</v>
      </c>
      <c r="C193" s="53" t="n">
        <v>0</v>
      </c>
      <c r="D193" s="53" t="n">
        <v>3</v>
      </c>
      <c r="E193" s="53" t="n">
        <v>0</v>
      </c>
      <c r="F193" s="54">
        <f>B193*E193</f>
        <v/>
      </c>
      <c r="G193" s="54">
        <f>C193*E193</f>
        <v/>
      </c>
      <c r="H193" s="54">
        <f>D193*E193</f>
        <v/>
      </c>
      <c r="I193" s="55" t="n">
        <v>0</v>
      </c>
      <c r="J193" s="55">
        <f>B193*I193</f>
        <v/>
      </c>
      <c r="K193" s="55">
        <f>C193*I193</f>
        <v/>
      </c>
      <c r="L193" s="55">
        <f>D193*I193</f>
        <v/>
      </c>
      <c r="M193" s="53" t="n">
        <v>0</v>
      </c>
      <c r="N193" s="56">
        <f>B193*M193</f>
        <v/>
      </c>
      <c r="O193" s="56">
        <f>C193*M193</f>
        <v/>
      </c>
      <c r="P193" s="56">
        <f>D193*M193</f>
        <v/>
      </c>
      <c r="Q193" s="52" t="inlineStr">
        <is>
          <t>Adults only ★</t>
        </is>
      </c>
    </row>
    <row r="194">
      <c r="A194" s="43" t="inlineStr">
        <is>
          <t xml:space="preserve">  BREAKFAST Total</t>
        </is>
      </c>
      <c r="B194" s="44" t="n"/>
      <c r="C194" s="44" t="n"/>
      <c r="D194" s="44" t="n"/>
      <c r="E194" s="44" t="n"/>
      <c r="F194" s="45">
        <f>SUM(F191:F193)</f>
        <v/>
      </c>
      <c r="G194" s="45">
        <f>SUM(G191:G193)</f>
        <v/>
      </c>
      <c r="H194" s="45">
        <f>SUM(H191:H193)</f>
        <v/>
      </c>
      <c r="I194" s="43" t="n"/>
      <c r="J194" s="46">
        <f>SUM(J191:J193)</f>
        <v/>
      </c>
      <c r="K194" s="46">
        <f>SUM(K191:K193)</f>
        <v/>
      </c>
      <c r="L194" s="46">
        <f>SUM(L191:L193)</f>
        <v/>
      </c>
      <c r="M194" s="44" t="n"/>
      <c r="N194" s="47">
        <f>SUM(N191:N193)</f>
        <v/>
      </c>
      <c r="O194" s="47">
        <f>SUM(O191:O193)</f>
        <v/>
      </c>
      <c r="P194" s="47">
        <f>SUM(P191:P193)</f>
        <v/>
      </c>
      <c r="Q194" s="43" t="n"/>
    </row>
    <row r="195" ht="24" customHeight="1">
      <c r="A195" s="30" t="inlineStr">
        <is>
          <t xml:space="preserve">  Thu Jul 30 — SNACKS</t>
        </is>
      </c>
    </row>
    <row r="196" ht="30" customHeight="1">
      <c r="A196" s="31" t="inlineStr">
        <is>
          <t>Food Item</t>
        </is>
      </c>
      <c r="B196" s="31" t="inlineStr">
        <is>
          <t>Qty
(Scout 3)</t>
        </is>
      </c>
      <c r="C196" s="31" t="inlineStr">
        <is>
          <t>Qty
(Scout 4)</t>
        </is>
      </c>
      <c r="D196" s="31" t="inlineStr">
        <is>
          <t>Qty
(Adult 3)</t>
        </is>
      </c>
      <c r="E196" s="31" t="inlineStr">
        <is>
          <t>kcal/unit</t>
        </is>
      </c>
      <c r="F196" s="31" t="inlineStr">
        <is>
          <t>Scout 3
kcal</t>
        </is>
      </c>
      <c r="G196" s="31" t="inlineStr">
        <is>
          <t>Scout 4
kcal</t>
        </is>
      </c>
      <c r="H196" s="31" t="inlineStr">
        <is>
          <t>Adult 3
kcal</t>
        </is>
      </c>
      <c r="I196" s="31" t="inlineStr">
        <is>
          <t>$/unit</t>
        </is>
      </c>
      <c r="J196" s="31" t="inlineStr">
        <is>
          <t>Scout 3
$</t>
        </is>
      </c>
      <c r="K196" s="31" t="inlineStr">
        <is>
          <t>Scout 4
$</t>
        </is>
      </c>
      <c r="L196" s="31" t="inlineStr">
        <is>
          <t>Adult 3
$</t>
        </is>
      </c>
      <c r="M196" s="31" t="inlineStr">
        <is>
          <t>oz/unit</t>
        </is>
      </c>
      <c r="N196" s="31" t="inlineStr">
        <is>
          <t>Scout 3
oz</t>
        </is>
      </c>
      <c r="O196" s="31" t="inlineStr">
        <is>
          <t>Scout 4
oz</t>
        </is>
      </c>
      <c r="P196" s="31" t="inlineStr">
        <is>
          <t>Adult 3
oz</t>
        </is>
      </c>
      <c r="Q196" s="31" t="inlineStr">
        <is>
          <t>Notes</t>
        </is>
      </c>
    </row>
    <row r="197">
      <c r="A197" s="10" t="inlineStr">
        <is>
          <t>Krave Sea Salt Original Beef Jerky</t>
        </is>
      </c>
      <c r="B197" s="9" t="n">
        <v>3</v>
      </c>
      <c r="C197" s="9" t="n">
        <v>4</v>
      </c>
      <c r="D197" s="9" t="n">
        <v>3</v>
      </c>
      <c r="E197" s="9" t="n">
        <v>140</v>
      </c>
      <c r="F197" s="37">
        <f>B197*E197</f>
        <v/>
      </c>
      <c r="G197" s="37">
        <f>C197*E197</f>
        <v/>
      </c>
      <c r="H197" s="37">
        <f>D197*E197</f>
        <v/>
      </c>
      <c r="I197" s="38" t="n">
        <v>2.19</v>
      </c>
      <c r="J197" s="38">
        <f>B197*I197</f>
        <v/>
      </c>
      <c r="K197" s="38">
        <f>C197*I197</f>
        <v/>
      </c>
      <c r="L197" s="38">
        <f>D197*I197</f>
        <v/>
      </c>
      <c r="M197" s="9" t="n">
        <v>1.48</v>
      </c>
      <c r="N197" s="39">
        <f>B197*M197</f>
        <v/>
      </c>
      <c r="O197" s="39">
        <f>C197*M197</f>
        <v/>
      </c>
      <c r="P197" s="39">
        <f>D197*M197</f>
        <v/>
      </c>
      <c r="Q197" s="10" t="inlineStr">
        <is>
          <t>Safe for nut allergy ✓</t>
        </is>
      </c>
    </row>
    <row r="198">
      <c r="A198" s="32" t="inlineStr">
        <is>
          <t>Clif Bar – Crunchy PB</t>
        </is>
      </c>
      <c r="B198" s="33" t="n">
        <v>3</v>
      </c>
      <c r="C198" s="33" t="n">
        <v>4</v>
      </c>
      <c r="D198" s="33" t="n">
        <v>3</v>
      </c>
      <c r="E198" s="33" t="n">
        <v>250</v>
      </c>
      <c r="F198" s="34">
        <f>B198*E198</f>
        <v/>
      </c>
      <c r="G198" s="34">
        <f>C198*E198</f>
        <v/>
      </c>
      <c r="H198" s="34">
        <f>D198*E198</f>
        <v/>
      </c>
      <c r="I198" s="35" t="n">
        <v>1.29</v>
      </c>
      <c r="J198" s="35">
        <f>B198*I198</f>
        <v/>
      </c>
      <c r="K198" s="35">
        <f>C198*I198</f>
        <v/>
      </c>
      <c r="L198" s="35">
        <f>D198*I198</f>
        <v/>
      </c>
      <c r="M198" s="33" t="n">
        <v>2.4</v>
      </c>
      <c r="N198" s="36">
        <f>B198*M198</f>
        <v/>
      </c>
      <c r="O198" s="36">
        <f>C198*M198</f>
        <v/>
      </c>
      <c r="P198" s="36">
        <f>D198*M198</f>
        <v/>
      </c>
      <c r="Q198" s="32" t="inlineStr">
        <is>
          <t>⚠ NUT</t>
        </is>
      </c>
    </row>
    <row r="199">
      <c r="A199" s="10" t="inlineStr">
        <is>
          <t>Gatorade Powder Pack</t>
        </is>
      </c>
      <c r="B199" s="9" t="n">
        <v>3</v>
      </c>
      <c r="C199" s="9" t="n">
        <v>4</v>
      </c>
      <c r="D199" s="9" t="n">
        <v>3</v>
      </c>
      <c r="E199" s="9" t="n">
        <v>130</v>
      </c>
      <c r="F199" s="37">
        <f>B199*E199</f>
        <v/>
      </c>
      <c r="G199" s="37">
        <f>C199*E199</f>
        <v/>
      </c>
      <c r="H199" s="37">
        <f>D199*E199</f>
        <v/>
      </c>
      <c r="I199" s="38" t="n">
        <v>0.38</v>
      </c>
      <c r="J199" s="38">
        <f>B199*I199</f>
        <v/>
      </c>
      <c r="K199" s="38">
        <f>C199*I199</f>
        <v/>
      </c>
      <c r="L199" s="38">
        <f>D199*I199</f>
        <v/>
      </c>
      <c r="M199" s="9" t="n">
        <v>1.23</v>
      </c>
      <c r="N199" s="39">
        <f>B199*M199</f>
        <v/>
      </c>
      <c r="O199" s="39">
        <f>C199*M199</f>
        <v/>
      </c>
      <c r="P199" s="39">
        <f>D199*M199</f>
        <v/>
      </c>
      <c r="Q199" s="10" t="inlineStr">
        <is>
          <t>Electrolytes</t>
        </is>
      </c>
    </row>
    <row r="200">
      <c r="A200" s="7" t="inlineStr">
        <is>
          <t>Peak Refuel – Fudge Brownie Bites</t>
        </is>
      </c>
      <c r="B200" s="6" t="n">
        <v>2</v>
      </c>
      <c r="C200" s="6" t="n">
        <v>2</v>
      </c>
      <c r="D200" s="6" t="n">
        <v>2</v>
      </c>
      <c r="E200" s="6" t="n">
        <v>450</v>
      </c>
      <c r="F200" s="40">
        <f>B200*E200</f>
        <v/>
      </c>
      <c r="G200" s="40">
        <f>C200*E200</f>
        <v/>
      </c>
      <c r="H200" s="40">
        <f>D200*E200</f>
        <v/>
      </c>
      <c r="I200" s="41" t="n">
        <v>4.99</v>
      </c>
      <c r="J200" s="41">
        <f>B200*I200</f>
        <v/>
      </c>
      <c r="K200" s="41">
        <f>C200*I200</f>
        <v/>
      </c>
      <c r="L200" s="41">
        <f>D200*I200</f>
        <v/>
      </c>
      <c r="M200" s="6" t="n">
        <v>1.5</v>
      </c>
      <c r="N200" s="42">
        <f>B200*M200</f>
        <v/>
      </c>
      <c r="O200" s="42">
        <f>C200*M200</f>
        <v/>
      </c>
      <c r="P200" s="42">
        <f>D200*M200</f>
        <v/>
      </c>
      <c r="Q200" s="7" t="inlineStr">
        <is>
          <t>Buddy-pair shares pouch</t>
        </is>
      </c>
    </row>
    <row r="201">
      <c r="A201" s="43" t="inlineStr">
        <is>
          <t xml:space="preserve">  SNACKS Total</t>
        </is>
      </c>
      <c r="B201" s="44" t="n"/>
      <c r="C201" s="44" t="n"/>
      <c r="D201" s="44" t="n"/>
      <c r="E201" s="44" t="n"/>
      <c r="F201" s="45">
        <f>SUM(F197:F200)</f>
        <v/>
      </c>
      <c r="G201" s="45">
        <f>SUM(G197:G200)</f>
        <v/>
      </c>
      <c r="H201" s="45">
        <f>SUM(H197:H200)</f>
        <v/>
      </c>
      <c r="I201" s="43" t="n"/>
      <c r="J201" s="46">
        <f>SUM(J197:J200)</f>
        <v/>
      </c>
      <c r="K201" s="46">
        <f>SUM(K197:K200)</f>
        <v/>
      </c>
      <c r="L201" s="46">
        <f>SUM(L197:L200)</f>
        <v/>
      </c>
      <c r="M201" s="44" t="n"/>
      <c r="N201" s="47">
        <f>SUM(N197:N200)</f>
        <v/>
      </c>
      <c r="O201" s="47">
        <f>SUM(O197:O200)</f>
        <v/>
      </c>
      <c r="P201" s="47">
        <f>SUM(P197:P200)</f>
        <v/>
      </c>
      <c r="Q201" s="43" t="n"/>
    </row>
    <row r="202" ht="24" customHeight="1">
      <c r="A202" s="30" t="inlineStr">
        <is>
          <t xml:space="preserve">  Thu Jul 30 — LUNCH</t>
        </is>
      </c>
    </row>
    <row r="203" ht="30" customHeight="1">
      <c r="A203" s="31" t="inlineStr">
        <is>
          <t>Food Item</t>
        </is>
      </c>
      <c r="B203" s="31" t="inlineStr">
        <is>
          <t>Qty
(Scout 3)</t>
        </is>
      </c>
      <c r="C203" s="31" t="inlineStr">
        <is>
          <t>Qty
(Scout 4)</t>
        </is>
      </c>
      <c r="D203" s="31" t="inlineStr">
        <is>
          <t>Qty
(Adult 3)</t>
        </is>
      </c>
      <c r="E203" s="31" t="inlineStr">
        <is>
          <t>kcal/unit</t>
        </is>
      </c>
      <c r="F203" s="31" t="inlineStr">
        <is>
          <t>Scout 3
kcal</t>
        </is>
      </c>
      <c r="G203" s="31" t="inlineStr">
        <is>
          <t>Scout 4
kcal</t>
        </is>
      </c>
      <c r="H203" s="31" t="inlineStr">
        <is>
          <t>Adult 3
kcal</t>
        </is>
      </c>
      <c r="I203" s="31" t="inlineStr">
        <is>
          <t>$/unit</t>
        </is>
      </c>
      <c r="J203" s="31" t="inlineStr">
        <is>
          <t>Scout 3
$</t>
        </is>
      </c>
      <c r="K203" s="31" t="inlineStr">
        <is>
          <t>Scout 4
$</t>
        </is>
      </c>
      <c r="L203" s="31" t="inlineStr">
        <is>
          <t>Adult 3
$</t>
        </is>
      </c>
      <c r="M203" s="31" t="inlineStr">
        <is>
          <t>oz/unit</t>
        </is>
      </c>
      <c r="N203" s="31" t="inlineStr">
        <is>
          <t>Scout 3
oz</t>
        </is>
      </c>
      <c r="O203" s="31" t="inlineStr">
        <is>
          <t>Scout 4
oz</t>
        </is>
      </c>
      <c r="P203" s="31" t="inlineStr">
        <is>
          <t>Adult 3
oz</t>
        </is>
      </c>
      <c r="Q203" s="31" t="inlineStr">
        <is>
          <t>Notes</t>
        </is>
      </c>
    </row>
    <row r="204">
      <c r="A204" s="7" t="inlineStr">
        <is>
          <t>Columbus Hard Salami (sliced packet)</t>
        </is>
      </c>
      <c r="B204" s="6" t="n">
        <v>3</v>
      </c>
      <c r="C204" s="6" t="n">
        <v>4</v>
      </c>
      <c r="D204" s="6" t="n">
        <v>3</v>
      </c>
      <c r="E204" s="6" t="n">
        <v>110</v>
      </c>
      <c r="F204" s="40">
        <f>B204*E204</f>
        <v/>
      </c>
      <c r="G204" s="40">
        <f>C204*E204</f>
        <v/>
      </c>
      <c r="H204" s="40">
        <f>D204*E204</f>
        <v/>
      </c>
      <c r="I204" s="41" t="n">
        <v>2.99</v>
      </c>
      <c r="J204" s="41">
        <f>B204*I204</f>
        <v/>
      </c>
      <c r="K204" s="41">
        <f>C204*I204</f>
        <v/>
      </c>
      <c r="L204" s="41">
        <f>D204*I204</f>
        <v/>
      </c>
      <c r="M204" s="6" t="n">
        <v>2</v>
      </c>
      <c r="N204" s="42">
        <f>B204*M204</f>
        <v/>
      </c>
      <c r="O204" s="42">
        <f>C204*M204</f>
        <v/>
      </c>
      <c r="P204" s="42">
        <f>D204*M204</f>
        <v/>
      </c>
      <c r="Q204" s="7" t="inlineStr">
        <is>
          <t>Lunch; 1/person; nut-free</t>
        </is>
      </c>
    </row>
    <row r="205">
      <c r="A205" s="10" t="inlineStr">
        <is>
          <t>Wasa Crisp'n Light Crackerbread</t>
        </is>
      </c>
      <c r="B205" s="9" t="n">
        <v>3</v>
      </c>
      <c r="C205" s="9" t="n">
        <v>4</v>
      </c>
      <c r="D205" s="9" t="n">
        <v>3</v>
      </c>
      <c r="E205" s="9" t="n">
        <v>60</v>
      </c>
      <c r="F205" s="37">
        <f>B205*E205</f>
        <v/>
      </c>
      <c r="G205" s="37">
        <f>C205*E205</f>
        <v/>
      </c>
      <c r="H205" s="37">
        <f>D205*E205</f>
        <v/>
      </c>
      <c r="I205" s="38" t="n">
        <v>0.5</v>
      </c>
      <c r="J205" s="38">
        <f>B205*I205</f>
        <v/>
      </c>
      <c r="K205" s="38">
        <f>C205*I205</f>
        <v/>
      </c>
      <c r="L205" s="38">
        <f>D205*I205</f>
        <v/>
      </c>
      <c r="M205" s="9" t="n">
        <v>1</v>
      </c>
      <c r="N205" s="39">
        <f>B205*M205</f>
        <v/>
      </c>
      <c r="O205" s="39">
        <f>C205*M205</f>
        <v/>
      </c>
      <c r="P205" s="39">
        <f>D205*M205</f>
        <v/>
      </c>
      <c r="Q205" s="10" t="inlineStr">
        <is>
          <t>Lunch side</t>
        </is>
      </c>
    </row>
    <row r="206">
      <c r="A206" s="7" t="inlineStr">
        <is>
          <t>Mission Street Taco Flour Tortillas</t>
        </is>
      </c>
      <c r="B206" s="6" t="n">
        <v>6</v>
      </c>
      <c r="C206" s="6" t="n">
        <v>8</v>
      </c>
      <c r="D206" s="6" t="n">
        <v>6</v>
      </c>
      <c r="E206" s="6" t="n">
        <v>75</v>
      </c>
      <c r="F206" s="40">
        <f>B206*E206</f>
        <v/>
      </c>
      <c r="G206" s="40">
        <f>C206*E206</f>
        <v/>
      </c>
      <c r="H206" s="40">
        <f>D206*E206</f>
        <v/>
      </c>
      <c r="I206" s="41" t="n">
        <v>0.25</v>
      </c>
      <c r="J206" s="41">
        <f>B206*I206</f>
        <v/>
      </c>
      <c r="K206" s="41">
        <f>C206*I206</f>
        <v/>
      </c>
      <c r="L206" s="41">
        <f>D206*I206</f>
        <v/>
      </c>
      <c r="M206" s="6" t="n">
        <v>0.5</v>
      </c>
      <c r="N206" s="42">
        <f>B206*M206</f>
        <v/>
      </c>
      <c r="O206" s="42">
        <f>C206*M206</f>
        <v/>
      </c>
      <c r="P206" s="42">
        <f>D206*M206</f>
        <v/>
      </c>
      <c r="Q206" s="7" t="inlineStr">
        <is>
          <t>2/person; nut-free ✓</t>
        </is>
      </c>
    </row>
    <row r="207">
      <c r="A207" s="10" t="inlineStr">
        <is>
          <t>Tillamook Cheddar Cheese Packets</t>
        </is>
      </c>
      <c r="B207" s="9" t="n">
        <v>3</v>
      </c>
      <c r="C207" s="9" t="n">
        <v>4</v>
      </c>
      <c r="D207" s="9" t="n">
        <v>3</v>
      </c>
      <c r="E207" s="9" t="n">
        <v>90</v>
      </c>
      <c r="F207" s="37">
        <f>B207*E207</f>
        <v/>
      </c>
      <c r="G207" s="37">
        <f>C207*E207</f>
        <v/>
      </c>
      <c r="H207" s="37">
        <f>D207*E207</f>
        <v/>
      </c>
      <c r="I207" s="38" t="n">
        <v>0.75</v>
      </c>
      <c r="J207" s="38">
        <f>B207*I207</f>
        <v/>
      </c>
      <c r="K207" s="38">
        <f>C207*I207</f>
        <v/>
      </c>
      <c r="L207" s="38">
        <f>D207*I207</f>
        <v/>
      </c>
      <c r="M207" s="9" t="n">
        <v>0.7</v>
      </c>
      <c r="N207" s="39">
        <f>B207*M207</f>
        <v/>
      </c>
      <c r="O207" s="39">
        <f>C207*M207</f>
        <v/>
      </c>
      <c r="P207" s="39">
        <f>D207*M207</f>
        <v/>
      </c>
      <c r="Q207" s="10" t="inlineStr">
        <is>
          <t>1/person; nut-free ✓</t>
        </is>
      </c>
    </row>
    <row r="208">
      <c r="A208" s="32" t="inlineStr">
        <is>
          <t>Justin's Classic PB Squeeze Pack</t>
        </is>
      </c>
      <c r="B208" s="33" t="n">
        <v>3</v>
      </c>
      <c r="C208" s="33" t="n">
        <v>4</v>
      </c>
      <c r="D208" s="33" t="n">
        <v>3</v>
      </c>
      <c r="E208" s="33" t="n">
        <v>190</v>
      </c>
      <c r="F208" s="34">
        <f>B208*E208</f>
        <v/>
      </c>
      <c r="G208" s="34">
        <f>C208*E208</f>
        <v/>
      </c>
      <c r="H208" s="34">
        <f>D208*E208</f>
        <v/>
      </c>
      <c r="I208" s="35" t="n">
        <v>1.49</v>
      </c>
      <c r="J208" s="35">
        <f>B208*I208</f>
        <v/>
      </c>
      <c r="K208" s="35">
        <f>C208*I208</f>
        <v/>
      </c>
      <c r="L208" s="35">
        <f>D208*I208</f>
        <v/>
      </c>
      <c r="M208" s="33" t="n">
        <v>1.15</v>
      </c>
      <c r="N208" s="36">
        <f>B208*M208</f>
        <v/>
      </c>
      <c r="O208" s="36">
        <f>C208*M208</f>
        <v/>
      </c>
      <c r="P208" s="36">
        <f>D208*M208</f>
        <v/>
      </c>
      <c r="Q208" s="32" t="inlineStr">
        <is>
          <t>Lunch side; ⚠ NUT</t>
        </is>
      </c>
    </row>
    <row r="209">
      <c r="A209" s="43" t="inlineStr">
        <is>
          <t xml:space="preserve">  LUNCH Total</t>
        </is>
      </c>
      <c r="B209" s="44" t="n"/>
      <c r="C209" s="44" t="n"/>
      <c r="D209" s="44" t="n"/>
      <c r="E209" s="44" t="n"/>
      <c r="F209" s="45">
        <f>SUM(F204:F208)</f>
        <v/>
      </c>
      <c r="G209" s="45">
        <f>SUM(G204:G208)</f>
        <v/>
      </c>
      <c r="H209" s="45">
        <f>SUM(H204:H208)</f>
        <v/>
      </c>
      <c r="I209" s="43" t="n"/>
      <c r="J209" s="46">
        <f>SUM(J204:J208)</f>
        <v/>
      </c>
      <c r="K209" s="46">
        <f>SUM(K204:K208)</f>
        <v/>
      </c>
      <c r="L209" s="46">
        <f>SUM(L204:L208)</f>
        <v/>
      </c>
      <c r="M209" s="44" t="n"/>
      <c r="N209" s="47">
        <f>SUM(N204:N208)</f>
        <v/>
      </c>
      <c r="O209" s="47">
        <f>SUM(O204:O208)</f>
        <v/>
      </c>
      <c r="P209" s="47">
        <f>SUM(P204:P208)</f>
        <v/>
      </c>
      <c r="Q209" s="43" t="n"/>
    </row>
    <row r="210">
      <c r="A210" s="48" t="inlineStr">
        <is>
          <t>DAY 6 (Thu Jul 30) TOTAL</t>
        </is>
      </c>
      <c r="B210" s="48" t="n"/>
      <c r="C210" s="48" t="n"/>
      <c r="D210" s="48" t="n"/>
      <c r="E210" s="48" t="n"/>
      <c r="F210" s="49">
        <f>SUM(F194,F201,F209)</f>
        <v/>
      </c>
      <c r="G210" s="49">
        <f>SUM(G194,G201,G209)</f>
        <v/>
      </c>
      <c r="H210" s="49">
        <f>SUM(H194,H201,H209)</f>
        <v/>
      </c>
      <c r="I210" s="48" t="n"/>
      <c r="J210" s="50">
        <f>SUM(J194,J201,J209)</f>
        <v/>
      </c>
      <c r="K210" s="50">
        <f>SUM(K194,K201,K209)</f>
        <v/>
      </c>
      <c r="L210" s="50">
        <f>SUM(L194,L201,L209)</f>
        <v/>
      </c>
      <c r="M210" s="48" t="n"/>
      <c r="N210" s="51">
        <f>SUM(N194,N201,N209)</f>
        <v/>
      </c>
      <c r="O210" s="51">
        <f>SUM(O194,O201,O209)</f>
        <v/>
      </c>
      <c r="P210" s="51">
        <f>SUM(P194,P201,P209)</f>
        <v/>
      </c>
      <c r="Q210" s="48" t="n"/>
    </row>
    <row r="211"/>
    <row r="212">
      <c r="A212" s="57" t="inlineStr">
        <is>
          <t>PHASE 2 SUB-TOTAL (per bear can)</t>
        </is>
      </c>
      <c r="B212" s="57" t="n"/>
      <c r="C212" s="57" t="n"/>
      <c r="D212" s="57" t="n"/>
      <c r="E212" s="57" t="n"/>
      <c r="F212" s="58">
        <f>SUM(F144,F186,F210)</f>
        <v/>
      </c>
      <c r="G212" s="58">
        <f>SUM(G144,G186,G210)</f>
        <v/>
      </c>
      <c r="H212" s="58">
        <f>SUM(H144,H186,H210)</f>
        <v/>
      </c>
      <c r="I212" s="57" t="n"/>
      <c r="J212" s="59">
        <f>SUM(J144,J186,J210)</f>
        <v/>
      </c>
      <c r="K212" s="59">
        <f>SUM(K144,K186,K210)</f>
        <v/>
      </c>
      <c r="L212" s="59">
        <f>SUM(L144,L186,L210)</f>
        <v/>
      </c>
      <c r="M212" s="57" t="n"/>
      <c r="N212" s="60">
        <f>SUM(N144,N186,N210)</f>
        <v/>
      </c>
      <c r="O212" s="60">
        <f>SUM(O144,O186,O210)</f>
        <v/>
      </c>
      <c r="P212" s="60">
        <f>SUM(P144,P186,P210)</f>
        <v/>
      </c>
      <c r="Q212" s="57" t="n"/>
    </row>
    <row r="213"/>
    <row r="214"/>
    <row r="215">
      <c r="A215" s="61" t="inlineStr">
        <is>
          <t>GRAND TOTAL (6 DAYS PURCHASE TOTAL)</t>
        </is>
      </c>
      <c r="B215" s="61" t="n"/>
      <c r="C215" s="61" t="n"/>
      <c r="D215" s="61" t="n"/>
      <c r="E215" s="61" t="n"/>
      <c r="F215" s="62">
        <f>SUM(F110,F212)</f>
        <v/>
      </c>
      <c r="G215" s="62">
        <f>SUM(G110,G212)</f>
        <v/>
      </c>
      <c r="H215" s="62">
        <f>SUM(H110,H212)</f>
        <v/>
      </c>
      <c r="I215" s="61" t="n"/>
      <c r="J215" s="63">
        <f>SUM(J110,J212)</f>
        <v/>
      </c>
      <c r="K215" s="63">
        <f>SUM(K110,K212)</f>
        <v/>
      </c>
      <c r="L215" s="63">
        <f>SUM(L110,L212)</f>
        <v/>
      </c>
      <c r="M215" s="61" t="n"/>
      <c r="N215" s="64">
        <f>SUM(N110,N212)</f>
        <v/>
      </c>
      <c r="O215" s="64">
        <f>SUM(O110,O212)</f>
        <v/>
      </c>
      <c r="P215" s="64">
        <f>SUM(P110,P212)</f>
        <v/>
      </c>
      <c r="Q215" s="61" t="n"/>
    </row>
  </sheetData>
  <mergeCells count="38">
    <mergeCell ref="A202:Q202"/>
    <mergeCell ref="A40:Q40"/>
    <mergeCell ref="A67:Q67"/>
    <mergeCell ref="A114:Q114"/>
    <mergeCell ref="A34:Q34"/>
    <mergeCell ref="A15:Q15"/>
    <mergeCell ref="A60:Q60"/>
    <mergeCell ref="A169:Q169"/>
    <mergeCell ref="A103:Q103"/>
    <mergeCell ref="A132:Q132"/>
    <mergeCell ref="A6:Q6"/>
    <mergeCell ref="A88:Q88"/>
    <mergeCell ref="A146:Q146"/>
    <mergeCell ref="A153:Q153"/>
    <mergeCell ref="A7:Q7"/>
    <mergeCell ref="A128:Q128"/>
    <mergeCell ref="A174:Q174"/>
    <mergeCell ref="A75:Q75"/>
    <mergeCell ref="A74:Q74"/>
    <mergeCell ref="A189:Q189"/>
    <mergeCell ref="A139:Q139"/>
    <mergeCell ref="A55:Q55"/>
    <mergeCell ref="A26:Q26"/>
    <mergeCell ref="A113:Q113"/>
    <mergeCell ref="A195:Q195"/>
    <mergeCell ref="A33:Q33"/>
    <mergeCell ref="A47:Q47"/>
    <mergeCell ref="A5:Q5"/>
    <mergeCell ref="A181:Q181"/>
    <mergeCell ref="A188:Q188"/>
    <mergeCell ref="A4:Q4"/>
    <mergeCell ref="A81:Q81"/>
    <mergeCell ref="A96:Q96"/>
    <mergeCell ref="A147:Q147"/>
    <mergeCell ref="A161:Q161"/>
    <mergeCell ref="A19:Q19"/>
    <mergeCell ref="A121:Q121"/>
    <mergeCell ref="A115:Q1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3"/>
  <sheetViews>
    <sheetView showGridLines="1" workbookViewId="0">
      <selection activeCell="A1" sqref="A1"/>
    </sheetView>
  </sheetViews>
  <sheetFormatPr baseColWidth="8" defaultRowHeight="15"/>
  <cols>
    <col width="128" customWidth="1" min="1" max="1"/>
    <col width="4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39" customWidth="1" min="9" max="9"/>
    <col width="10" customWidth="1" min="10" max="10"/>
    <col width="17" customWidth="1" min="11" max="11"/>
    <col width="17" customWidth="1" min="12" max="12"/>
    <col width="17" customWidth="1" min="13" max="13"/>
    <col width="15" customWidth="1" min="14" max="14"/>
    <col width="10" customWidth="1" min="15" max="15"/>
    <col width="15" customWidth="1" min="16" max="16"/>
    <col width="33" customWidth="1" min="17" max="17"/>
  </cols>
  <sheetData>
    <row r="1">
      <c r="A1" s="1" t="inlineStr">
        <is>
          <t>Master Shopping List — 19 People · 6 Bear Cans  |  July 25–30, 2026</t>
        </is>
      </c>
    </row>
    <row r="2">
      <c r="A2" s="2" t="inlineStr">
        <is>
          <t>🟡 Yellow = bulk buy (Costco/Amazon)  |  🟠 Orange = adult supplement  |  Group Total = 3*(Scout 3) + 1*(Scout 4) + 2*(Adult 3)</t>
        </is>
      </c>
    </row>
    <row r="3" ht="30" customHeight="1">
      <c r="A3" s="65" t="inlineStr">
        <is>
          <t>☐</t>
        </is>
      </c>
      <c r="B3" s="65" t="inlineStr">
        <is>
          <t>Food Item</t>
        </is>
      </c>
      <c r="C3" s="65" t="inlineStr">
        <is>
          <t>Phase 1 Qty
(Scout 3 Can)</t>
        </is>
      </c>
      <c r="D3" s="65" t="inlineStr">
        <is>
          <t>Phase 1 Qty
(Scout 4 Can)</t>
        </is>
      </c>
      <c r="E3" s="65" t="inlineStr">
        <is>
          <t>Phase 1 Qty
(Adult 3 Can)</t>
        </is>
      </c>
      <c r="F3" s="65" t="inlineStr">
        <is>
          <t>Phase 2 Qty
(Scout 3 Can)</t>
        </is>
      </c>
      <c r="G3" s="65" t="inlineStr">
        <is>
          <t>Phase 2 Qty
(Scout 4 Can)</t>
        </is>
      </c>
      <c r="H3" s="65" t="inlineStr">
        <is>
          <t>Phase 2 Qty
(Adult 3 Can)</t>
        </is>
      </c>
      <c r="I3" s="65" t="inlineStr">
        <is>
          <t>Group Total
(6 Days Packs)</t>
        </is>
      </c>
      <c r="J3" s="65" t="inlineStr">
        <is>
          <t>$/Unit</t>
        </is>
      </c>
      <c r="K3" s="65" t="inlineStr">
        <is>
          <t>Scout 3 Cost
(6 Days)</t>
        </is>
      </c>
      <c r="L3" s="65" t="inlineStr">
        <is>
          <t>Scout 4 Cost
(6 Days)</t>
        </is>
      </c>
      <c r="M3" s="65" t="inlineStr">
        <is>
          <t>Adult 3 Cost
(6 Days)</t>
        </is>
      </c>
      <c r="N3" s="65" t="inlineStr">
        <is>
          <t>Group Total
$</t>
        </is>
      </c>
      <c r="O3" s="65" t="inlineStr">
        <is>
          <t>oz/unit</t>
        </is>
      </c>
      <c r="P3" s="65" t="inlineStr">
        <is>
          <t>Group
ozs</t>
        </is>
      </c>
      <c r="Q3" s="65" t="inlineStr">
        <is>
          <t>Where to Buy</t>
        </is>
      </c>
    </row>
    <row r="4">
      <c r="A4" s="33" t="inlineStr">
        <is>
          <t>☐</t>
        </is>
      </c>
      <c r="B4" s="32" t="inlineStr">
        <is>
          <t>88 Acres Seed + Oat Bars (allergy scout)</t>
        </is>
      </c>
      <c r="C4" s="33" t="n">
        <v>0</v>
      </c>
      <c r="D4" s="33" t="n">
        <v>0</v>
      </c>
      <c r="E4" s="33" t="n">
        <v>0</v>
      </c>
      <c r="F4" s="33" t="n">
        <v>0</v>
      </c>
      <c r="G4" s="33" t="n">
        <v>0</v>
      </c>
      <c r="H4" s="33" t="n">
        <v>0</v>
      </c>
      <c r="I4" s="33" t="n">
        <v>6</v>
      </c>
      <c r="J4" s="35" t="n">
        <v>2.4</v>
      </c>
      <c r="K4" s="35">
        <f>(C4+F4)*J4</f>
        <v/>
      </c>
      <c r="L4" s="35">
        <f>(D4+G4)*J4</f>
        <v/>
      </c>
      <c r="M4" s="35">
        <f>(E4+H4)*J4</f>
        <v/>
      </c>
      <c r="N4" s="35">
        <f>I4*J4</f>
        <v/>
      </c>
      <c r="O4" s="33" t="n">
        <v>1.4</v>
      </c>
      <c r="P4" s="36">
        <f>I4*O4</f>
        <v/>
      </c>
      <c r="Q4" s="32" t="inlineStr">
        <is>
          <t>Allergy scout snacks swap</t>
        </is>
      </c>
    </row>
    <row r="5">
      <c r="A5" s="53" t="inlineStr">
        <is>
          <t>☐</t>
        </is>
      </c>
      <c r="B5" s="52" t="inlineStr">
        <is>
          <t>Adults: own coffee / tea</t>
        </is>
      </c>
      <c r="C5" s="53" t="n">
        <v>0</v>
      </c>
      <c r="D5" s="53" t="n">
        <v>0</v>
      </c>
      <c r="E5" s="53" t="n">
        <v>6</v>
      </c>
      <c r="F5" s="53" t="n">
        <v>0</v>
      </c>
      <c r="G5" s="53" t="n">
        <v>0</v>
      </c>
      <c r="H5" s="53" t="n">
        <v>9</v>
      </c>
      <c r="I5" s="53">
        <f>3*(C5+F5)+1*(D5+G5)+2*(E5+H5)</f>
        <v/>
      </c>
      <c r="J5" s="55" t="n">
        <v>0</v>
      </c>
      <c r="K5" s="55">
        <f>(C5+F5)*J5</f>
        <v/>
      </c>
      <c r="L5" s="55">
        <f>(D5+G5)*J5</f>
        <v/>
      </c>
      <c r="M5" s="55">
        <f>(E5+H5)*J5</f>
        <v/>
      </c>
      <c r="N5" s="55">
        <f>I5*J5</f>
        <v/>
      </c>
      <c r="O5" s="53" t="n">
        <v>0</v>
      </c>
      <c r="P5" s="56">
        <f>I5*O5</f>
        <v/>
      </c>
      <c r="Q5" s="52" t="inlineStr">
        <is>
          <t>Adults only ★</t>
        </is>
      </c>
    </row>
    <row r="6">
      <c r="A6" s="6" t="inlineStr">
        <is>
          <t>☐</t>
        </is>
      </c>
      <c r="B6" s="7" t="inlineStr">
        <is>
          <t>Backpacker's Pantry – Crème Brûlée</t>
        </is>
      </c>
      <c r="C6" s="6" t="n">
        <v>4</v>
      </c>
      <c r="D6" s="6" t="n">
        <v>4</v>
      </c>
      <c r="E6" s="6" t="n">
        <v>4</v>
      </c>
      <c r="F6" s="6" t="n">
        <v>2</v>
      </c>
      <c r="G6" s="6" t="n">
        <v>2</v>
      </c>
      <c r="H6" s="6" t="n">
        <v>2</v>
      </c>
      <c r="I6" s="6">
        <f>3*(C6+F6)+1*(D6+G6)+2*(E6+H6)</f>
        <v/>
      </c>
      <c r="J6" s="41" t="n">
        <v>8.99</v>
      </c>
      <c r="K6" s="41">
        <f>(C6+F6)*J6</f>
        <v/>
      </c>
      <c r="L6" s="41">
        <f>(D6+G6)*J6</f>
        <v/>
      </c>
      <c r="M6" s="41">
        <f>(E6+H6)*J6</f>
        <v/>
      </c>
      <c r="N6" s="41">
        <f>I6*J6</f>
        <v/>
      </c>
      <c r="O6" s="6" t="n">
        <v>2.26</v>
      </c>
      <c r="P6" s="42">
        <f>I6*O6</f>
        <v/>
      </c>
      <c r="Q6" s="7" t="inlineStr">
        <is>
          <t>Buddy-pair shares pouch</t>
        </is>
      </c>
    </row>
    <row r="7">
      <c r="A7" s="9" t="inlineStr">
        <is>
          <t>☐</t>
        </is>
      </c>
      <c r="B7" s="66" t="inlineStr">
        <is>
          <t>Banana Chips (1 oz)</t>
        </is>
      </c>
      <c r="C7" s="9" t="n">
        <v>3</v>
      </c>
      <c r="D7" s="9" t="n">
        <v>4</v>
      </c>
      <c r="E7" s="9" t="n">
        <v>3</v>
      </c>
      <c r="F7" s="9" t="n">
        <v>3</v>
      </c>
      <c r="G7" s="9" t="n">
        <v>4</v>
      </c>
      <c r="H7" s="9" t="n">
        <v>3</v>
      </c>
      <c r="I7" s="9">
        <f>3*(C7+F7)+1*(D7+G7)+2*(E7+H7)</f>
        <v/>
      </c>
      <c r="J7" s="38" t="n">
        <v>0.45</v>
      </c>
      <c r="K7" s="38">
        <f>(C7+F7)*J7</f>
        <v/>
      </c>
      <c r="L7" s="38">
        <f>(D7+G7)*J7</f>
        <v/>
      </c>
      <c r="M7" s="38">
        <f>(E7+H7)*J7</f>
        <v/>
      </c>
      <c r="N7" s="38">
        <f>I7*J7</f>
        <v/>
      </c>
      <c r="O7" s="9" t="n">
        <v>1</v>
      </c>
      <c r="P7" s="39">
        <f>I7*O7</f>
        <v/>
      </c>
      <c r="Q7" s="10" t="inlineStr">
        <is>
          <t>Nut-free ✓</t>
        </is>
      </c>
    </row>
    <row r="8">
      <c r="A8" s="6" t="inlineStr">
        <is>
          <t>☐</t>
        </is>
      </c>
      <c r="B8" s="66" t="inlineStr">
        <is>
          <t>Chicken of the Sea Shredded Chicken Pouch</t>
        </is>
      </c>
      <c r="C8" s="6" t="n">
        <v>3</v>
      </c>
      <c r="D8" s="6" t="n">
        <v>4</v>
      </c>
      <c r="E8" s="6" t="n">
        <v>3</v>
      </c>
      <c r="F8" s="6" t="n">
        <v>3</v>
      </c>
      <c r="G8" s="6" t="n">
        <v>4</v>
      </c>
      <c r="H8" s="6" t="n">
        <v>3</v>
      </c>
      <c r="I8" s="6">
        <f>3*(C8+F8)+1*(D8+G8)+2*(E8+H8)</f>
        <v/>
      </c>
      <c r="J8" s="41" t="n">
        <v>2.29</v>
      </c>
      <c r="K8" s="41">
        <f>(C8+F8)*J8</f>
        <v/>
      </c>
      <c r="L8" s="41">
        <f>(D8+G8)*J8</f>
        <v/>
      </c>
      <c r="M8" s="41">
        <f>(E8+H8)*J8</f>
        <v/>
      </c>
      <c r="N8" s="41">
        <f>I8*J8</f>
        <v/>
      </c>
      <c r="O8" s="6" t="n">
        <v>2.5</v>
      </c>
      <c r="P8" s="42">
        <f>I8*O8</f>
        <v/>
      </c>
      <c r="Q8" s="7" t="inlineStr">
        <is>
          <t>No cook; nut-free ✓</t>
        </is>
      </c>
    </row>
    <row r="9">
      <c r="A9" s="33" t="inlineStr">
        <is>
          <t>☐</t>
        </is>
      </c>
      <c r="B9" s="32" t="inlineStr">
        <is>
          <t>Clif Bar – Crunchy PB</t>
        </is>
      </c>
      <c r="C9" s="33" t="n">
        <v>6</v>
      </c>
      <c r="D9" s="33" t="n">
        <v>8</v>
      </c>
      <c r="E9" s="33" t="n">
        <v>6</v>
      </c>
      <c r="F9" s="33" t="n">
        <v>6</v>
      </c>
      <c r="G9" s="33" t="n">
        <v>8</v>
      </c>
      <c r="H9" s="33" t="n">
        <v>6</v>
      </c>
      <c r="I9" s="33">
        <f>3*(C9+F9)+1*(D9+G9)+2*(E9+H9)</f>
        <v/>
      </c>
      <c r="J9" s="35" t="n">
        <v>1.29</v>
      </c>
      <c r="K9" s="35">
        <f>(C9+F9)*J9</f>
        <v/>
      </c>
      <c r="L9" s="35">
        <f>(D9+G9)*J9</f>
        <v/>
      </c>
      <c r="M9" s="35">
        <f>(E9+H9)*J9</f>
        <v/>
      </c>
      <c r="N9" s="35">
        <f>I9*J9</f>
        <v/>
      </c>
      <c r="O9" s="33" t="n">
        <v>2.4</v>
      </c>
      <c r="P9" s="36">
        <f>I9*O9</f>
        <v/>
      </c>
      <c r="Q9" s="32" t="inlineStr">
        <is>
          <t>Lunch snack; ⚠ NUT</t>
        </is>
      </c>
    </row>
    <row r="10">
      <c r="A10" s="33" t="inlineStr">
        <is>
          <t>☐</t>
        </is>
      </c>
      <c r="B10" s="32" t="inlineStr">
        <is>
          <t>Clif Builder's Bar (adult supplement)</t>
        </is>
      </c>
      <c r="C10" s="33" t="n">
        <v>0</v>
      </c>
      <c r="D10" s="33" t="n">
        <v>0</v>
      </c>
      <c r="E10" s="33" t="n">
        <v>3</v>
      </c>
      <c r="F10" s="33" t="n">
        <v>0</v>
      </c>
      <c r="G10" s="33" t="n">
        <v>0</v>
      </c>
      <c r="H10" s="33" t="n">
        <v>3</v>
      </c>
      <c r="I10" s="33">
        <f>3*(C10+F10)+1*(D10+G10)+2*(E10+H10)</f>
        <v/>
      </c>
      <c r="J10" s="35" t="n">
        <v>2.17</v>
      </c>
      <c r="K10" s="35">
        <f>(C10+F10)*J10</f>
        <v/>
      </c>
      <c r="L10" s="35">
        <f>(D10+G10)*J10</f>
        <v/>
      </c>
      <c r="M10" s="35">
        <f>(E10+H10)*J10</f>
        <v/>
      </c>
      <c r="N10" s="35">
        <f>I10*J10</f>
        <v/>
      </c>
      <c r="O10" s="33" t="n">
        <v>2.4</v>
      </c>
      <c r="P10" s="36">
        <f>I10*O10</f>
        <v/>
      </c>
      <c r="Q10" s="32" t="inlineStr">
        <is>
          <t>Adults only ★; ⚠ NUT</t>
        </is>
      </c>
    </row>
    <row r="11">
      <c r="A11" s="9" t="inlineStr">
        <is>
          <t>☐</t>
        </is>
      </c>
      <c r="B11" s="66" t="inlineStr">
        <is>
          <t>Columbus Hard Salami (sliced packet)</t>
        </is>
      </c>
      <c r="C11" s="9" t="n">
        <v>3</v>
      </c>
      <c r="D11" s="9" t="n">
        <v>4</v>
      </c>
      <c r="E11" s="9" t="n">
        <v>3</v>
      </c>
      <c r="F11" s="9" t="n">
        <v>3</v>
      </c>
      <c r="G11" s="9" t="n">
        <v>4</v>
      </c>
      <c r="H11" s="9" t="n">
        <v>3</v>
      </c>
      <c r="I11" s="9">
        <f>3*(C11+F11)+1*(D11+G11)+2*(E11+H11)</f>
        <v/>
      </c>
      <c r="J11" s="38" t="n">
        <v>2.99</v>
      </c>
      <c r="K11" s="38">
        <f>(C11+F11)*J11</f>
        <v/>
      </c>
      <c r="L11" s="38">
        <f>(D11+G11)*J11</f>
        <v/>
      </c>
      <c r="M11" s="38">
        <f>(E11+H11)*J11</f>
        <v/>
      </c>
      <c r="N11" s="38">
        <f>I11*J11</f>
        <v/>
      </c>
      <c r="O11" s="9" t="n">
        <v>2</v>
      </c>
      <c r="P11" s="39">
        <f>I11*O11</f>
        <v/>
      </c>
      <c r="Q11" s="10" t="inlineStr">
        <is>
          <t>Lunch; 1/person; nut-free</t>
        </is>
      </c>
    </row>
    <row r="12">
      <c r="A12" s="6" t="inlineStr">
        <is>
          <t>☐</t>
        </is>
      </c>
      <c r="B12" s="66" t="inlineStr">
        <is>
          <t>Gatorade Powder Pack</t>
        </is>
      </c>
      <c r="C12" s="6" t="n">
        <v>12</v>
      </c>
      <c r="D12" s="6" t="n">
        <v>16</v>
      </c>
      <c r="E12" s="6" t="n">
        <v>12</v>
      </c>
      <c r="F12" s="6" t="n">
        <v>12</v>
      </c>
      <c r="G12" s="6" t="n">
        <v>16</v>
      </c>
      <c r="H12" s="6" t="n">
        <v>12</v>
      </c>
      <c r="I12" s="6">
        <f>3*(C12+F12)+1*(D12+G12)+2*(E12+H12)</f>
        <v/>
      </c>
      <c r="J12" s="41" t="n">
        <v>0.38</v>
      </c>
      <c r="K12" s="41">
        <f>(C12+F12)*J12</f>
        <v/>
      </c>
      <c r="L12" s="41">
        <f>(D12+G12)*J12</f>
        <v/>
      </c>
      <c r="M12" s="41">
        <f>(E12+H12)*J12</f>
        <v/>
      </c>
      <c r="N12" s="41">
        <f>I12*J12</f>
        <v/>
      </c>
      <c r="O12" s="6" t="n">
        <v>1.23</v>
      </c>
      <c r="P12" s="42">
        <f>I12*O12</f>
        <v/>
      </c>
      <c r="Q12" s="7" t="inlineStr">
        <is>
          <t>Electrolytes</t>
        </is>
      </c>
    </row>
    <row r="13">
      <c r="A13" s="33" t="inlineStr">
        <is>
          <t>☐</t>
        </is>
      </c>
      <c r="B13" s="32" t="inlineStr">
        <is>
          <t>Honey Stinger Gold Waffle (allergy scout)</t>
        </is>
      </c>
      <c r="C13" s="33" t="n">
        <v>0</v>
      </c>
      <c r="D13" s="33" t="n">
        <v>0</v>
      </c>
      <c r="E13" s="33" t="n">
        <v>0</v>
      </c>
      <c r="F13" s="33" t="n">
        <v>0</v>
      </c>
      <c r="G13" s="33" t="n">
        <v>0</v>
      </c>
      <c r="H13" s="33" t="n">
        <v>0</v>
      </c>
      <c r="I13" s="33" t="n">
        <v>5</v>
      </c>
      <c r="J13" s="35" t="n">
        <v>1.09</v>
      </c>
      <c r="K13" s="35">
        <f>(C13+F13)*J13</f>
        <v/>
      </c>
      <c r="L13" s="35">
        <f>(D13+G13)*J13</f>
        <v/>
      </c>
      <c r="M13" s="35">
        <f>(E13+H13)*J13</f>
        <v/>
      </c>
      <c r="N13" s="35">
        <f>I13*J13</f>
        <v/>
      </c>
      <c r="O13" s="33" t="n">
        <v>1</v>
      </c>
      <c r="P13" s="36">
        <f>I13*O13</f>
        <v/>
      </c>
      <c r="Q13" s="32" t="inlineStr">
        <is>
          <t>Allergy scout dessert swap</t>
        </is>
      </c>
    </row>
    <row r="14">
      <c r="A14" s="6" t="inlineStr">
        <is>
          <t>☐</t>
        </is>
      </c>
      <c r="B14" s="7" t="inlineStr">
        <is>
          <t>Idahoan Mashed Potatoes – Butter &amp; Herb</t>
        </is>
      </c>
      <c r="C14" s="6" t="n">
        <v>3</v>
      </c>
      <c r="D14" s="6" t="n">
        <v>4</v>
      </c>
      <c r="E14" s="6" t="n">
        <v>3</v>
      </c>
      <c r="F14" s="6" t="n">
        <v>3</v>
      </c>
      <c r="G14" s="6" t="n">
        <v>4</v>
      </c>
      <c r="H14" s="6" t="n">
        <v>3</v>
      </c>
      <c r="I14" s="6">
        <f>3*(C14+F14)+1*(D14+G14)+2*(E14+H14)</f>
        <v/>
      </c>
      <c r="J14" s="41" t="n">
        <v>0.98</v>
      </c>
      <c r="K14" s="41">
        <f>(C14+F14)*J14</f>
        <v/>
      </c>
      <c r="L14" s="41">
        <f>(D14+G14)*J14</f>
        <v/>
      </c>
      <c r="M14" s="41">
        <f>(E14+H14)*J14</f>
        <v/>
      </c>
      <c r="N14" s="41">
        <f>I14*J14</f>
        <v/>
      </c>
      <c r="O14" s="6" t="n">
        <v>1</v>
      </c>
      <c r="P14" s="42">
        <f>I14*O14</f>
        <v/>
      </c>
      <c r="Q14" s="7" t="inlineStr">
        <is>
          <t>Dinner side</t>
        </is>
      </c>
    </row>
    <row r="15">
      <c r="A15" s="33" t="inlineStr">
        <is>
          <t>☐</t>
        </is>
      </c>
      <c r="B15" s="32" t="inlineStr">
        <is>
          <t>Justin's Classic PB Squeeze Pack</t>
        </is>
      </c>
      <c r="C15" s="33" t="n">
        <v>6</v>
      </c>
      <c r="D15" s="33" t="n">
        <v>8</v>
      </c>
      <c r="E15" s="33" t="n">
        <v>6</v>
      </c>
      <c r="F15" s="33" t="n">
        <v>6</v>
      </c>
      <c r="G15" s="33" t="n">
        <v>8</v>
      </c>
      <c r="H15" s="33" t="n">
        <v>6</v>
      </c>
      <c r="I15" s="33">
        <f>3*(C15+F15)+1*(D15+G15)+2*(E15+H15)</f>
        <v/>
      </c>
      <c r="J15" s="35" t="n">
        <v>1.49</v>
      </c>
      <c r="K15" s="35">
        <f>(C15+F15)*J15</f>
        <v/>
      </c>
      <c r="L15" s="35">
        <f>(D15+G15)*J15</f>
        <v/>
      </c>
      <c r="M15" s="35">
        <f>(E15+H15)*J15</f>
        <v/>
      </c>
      <c r="N15" s="35">
        <f>I15*J15</f>
        <v/>
      </c>
      <c r="O15" s="33" t="n">
        <v>1.15</v>
      </c>
      <c r="P15" s="36">
        <f>I15*O15</f>
        <v/>
      </c>
      <c r="Q15" s="32" t="inlineStr">
        <is>
          <t>Lunch side; ⚠ NUT</t>
        </is>
      </c>
    </row>
    <row r="16">
      <c r="A16" s="33" t="inlineStr">
        <is>
          <t>☐</t>
        </is>
      </c>
      <c r="B16" s="32" t="inlineStr">
        <is>
          <t>Justin's Dark Chocolate Peanut Butter Cups</t>
        </is>
      </c>
      <c r="C16" s="33" t="n">
        <v>3</v>
      </c>
      <c r="D16" s="33" t="n">
        <v>4</v>
      </c>
      <c r="E16" s="33" t="n">
        <v>3</v>
      </c>
      <c r="F16" s="33" t="n">
        <v>3</v>
      </c>
      <c r="G16" s="33" t="n">
        <v>4</v>
      </c>
      <c r="H16" s="33" t="n">
        <v>3</v>
      </c>
      <c r="I16" s="33">
        <f>3*(C16+F16)+1*(D16+G16)+2*(E16+H16)</f>
        <v/>
      </c>
      <c r="J16" s="35" t="n">
        <v>1.49</v>
      </c>
      <c r="K16" s="35">
        <f>(C16+F16)*J16</f>
        <v/>
      </c>
      <c r="L16" s="35">
        <f>(D16+G16)*J16</f>
        <v/>
      </c>
      <c r="M16" s="35">
        <f>(E16+H16)*J16</f>
        <v/>
      </c>
      <c r="N16" s="35">
        <f>I16*J16</f>
        <v/>
      </c>
      <c r="O16" s="33" t="n">
        <v>1.41</v>
      </c>
      <c r="P16" s="36">
        <f>I16*O16</f>
        <v/>
      </c>
      <c r="Q16" s="32" t="inlineStr">
        <is>
          <t>1 packet/person; ⚠ NUT</t>
        </is>
      </c>
    </row>
    <row r="17">
      <c r="A17" s="33" t="inlineStr">
        <is>
          <t>☐</t>
        </is>
      </c>
      <c r="B17" s="32" t="inlineStr">
        <is>
          <t>Justin's PB Squeeze (adult supplement)</t>
        </is>
      </c>
      <c r="C17" s="33" t="n">
        <v>0</v>
      </c>
      <c r="D17" s="33" t="n">
        <v>0</v>
      </c>
      <c r="E17" s="33" t="n">
        <v>3</v>
      </c>
      <c r="F17" s="33" t="n">
        <v>0</v>
      </c>
      <c r="G17" s="33" t="n">
        <v>0</v>
      </c>
      <c r="H17" s="33" t="n">
        <v>3</v>
      </c>
      <c r="I17" s="33">
        <f>3*(C17+F17)+1*(D17+G17)+2*(E17+H17)</f>
        <v/>
      </c>
      <c r="J17" s="35" t="n">
        <v>1.49</v>
      </c>
      <c r="K17" s="35">
        <f>(C17+F17)*J17</f>
        <v/>
      </c>
      <c r="L17" s="35">
        <f>(D17+G17)*J17</f>
        <v/>
      </c>
      <c r="M17" s="35">
        <f>(E17+H17)*J17</f>
        <v/>
      </c>
      <c r="N17" s="35">
        <f>I17*J17</f>
        <v/>
      </c>
      <c r="O17" s="33" t="n">
        <v>1.15</v>
      </c>
      <c r="P17" s="36">
        <f>I17*O17</f>
        <v/>
      </c>
      <c r="Q17" s="32" t="inlineStr">
        <is>
          <t>Adults only ★; ⚠ NUT</t>
        </is>
      </c>
    </row>
    <row r="18">
      <c r="A18" s="33" t="inlineStr">
        <is>
          <t>☐</t>
        </is>
      </c>
      <c r="B18" s="32" t="inlineStr">
        <is>
          <t>Kind – Caramel Almond &amp; Peanut Bar</t>
        </is>
      </c>
      <c r="C18" s="33" t="n">
        <v>3</v>
      </c>
      <c r="D18" s="33" t="n">
        <v>4</v>
      </c>
      <c r="E18" s="33" t="n">
        <v>3</v>
      </c>
      <c r="F18" s="33" t="n">
        <v>3</v>
      </c>
      <c r="G18" s="33" t="n">
        <v>4</v>
      </c>
      <c r="H18" s="33" t="n">
        <v>3</v>
      </c>
      <c r="I18" s="33">
        <f>3*(C18+F18)+1*(D18+G18)+2*(E18+H18)</f>
        <v/>
      </c>
      <c r="J18" s="35" t="n">
        <v>1.59</v>
      </c>
      <c r="K18" s="35">
        <f>(C18+F18)*J18</f>
        <v/>
      </c>
      <c r="L18" s="35">
        <f>(D18+G18)*J18</f>
        <v/>
      </c>
      <c r="M18" s="35">
        <f>(E18+H18)*J18</f>
        <v/>
      </c>
      <c r="N18" s="35">
        <f>I18*J18</f>
        <v/>
      </c>
      <c r="O18" s="33" t="n">
        <v>1.4</v>
      </c>
      <c r="P18" s="36">
        <f>I18*O18</f>
        <v/>
      </c>
      <c r="Q18" s="32" t="inlineStr">
        <is>
          <t>⚠ NUT: swap → 88 Acres bar</t>
        </is>
      </c>
    </row>
    <row r="19">
      <c r="A19" s="33" t="inlineStr">
        <is>
          <t>☐</t>
        </is>
      </c>
      <c r="B19" s="32" t="inlineStr">
        <is>
          <t>Kind – Dark Choc Nuts &amp; Sea Salt Bar</t>
        </is>
      </c>
      <c r="C19" s="33" t="n">
        <v>3</v>
      </c>
      <c r="D19" s="33" t="n">
        <v>4</v>
      </c>
      <c r="E19" s="33" t="n">
        <v>3</v>
      </c>
      <c r="F19" s="33" t="n">
        <v>3</v>
      </c>
      <c r="G19" s="33" t="n">
        <v>4</v>
      </c>
      <c r="H19" s="33" t="n">
        <v>3</v>
      </c>
      <c r="I19" s="33">
        <f>3*(C19+F19)+1*(D19+G19)+2*(E19+H19)</f>
        <v/>
      </c>
      <c r="J19" s="35" t="n">
        <v>1.04</v>
      </c>
      <c r="K19" s="35">
        <f>(C19+F19)*J19</f>
        <v/>
      </c>
      <c r="L19" s="35">
        <f>(D19+G19)*J19</f>
        <v/>
      </c>
      <c r="M19" s="35">
        <f>(E19+H19)*J19</f>
        <v/>
      </c>
      <c r="N19" s="35">
        <f>I19*J19</f>
        <v/>
      </c>
      <c r="O19" s="33" t="n">
        <v>1.4</v>
      </c>
      <c r="P19" s="36">
        <f>I19*O19</f>
        <v/>
      </c>
      <c r="Q19" s="32" t="inlineStr">
        <is>
          <t>⚠ NUT: swap → 88 Acres bar</t>
        </is>
      </c>
    </row>
    <row r="20">
      <c r="A20" s="33" t="inlineStr">
        <is>
          <t>☐</t>
        </is>
      </c>
      <c r="B20" s="32" t="inlineStr">
        <is>
          <t>Kind – Peanut Butter Dark Chocolate Bar</t>
        </is>
      </c>
      <c r="C20" s="33" t="n">
        <v>3</v>
      </c>
      <c r="D20" s="33" t="n">
        <v>4</v>
      </c>
      <c r="E20" s="33" t="n">
        <v>3</v>
      </c>
      <c r="F20" s="33" t="n">
        <v>3</v>
      </c>
      <c r="G20" s="33" t="n">
        <v>4</v>
      </c>
      <c r="H20" s="33" t="n">
        <v>3</v>
      </c>
      <c r="I20" s="33">
        <f>3*(C20+F20)+1*(D20+G20)+2*(E20+H20)</f>
        <v/>
      </c>
      <c r="J20" s="35" t="n">
        <v>1.04</v>
      </c>
      <c r="K20" s="35">
        <f>(C20+F20)*J20</f>
        <v/>
      </c>
      <c r="L20" s="35">
        <f>(D20+G20)*J20</f>
        <v/>
      </c>
      <c r="M20" s="35">
        <f>(E20+H20)*J20</f>
        <v/>
      </c>
      <c r="N20" s="35">
        <f>I20*J20</f>
        <v/>
      </c>
      <c r="O20" s="33" t="n">
        <v>1.4</v>
      </c>
      <c r="P20" s="36">
        <f>I20*O20</f>
        <v/>
      </c>
      <c r="Q20" s="32" t="inlineStr">
        <is>
          <t>⚠ NUT: swap → 88 Acres bar</t>
        </is>
      </c>
    </row>
    <row r="21">
      <c r="A21" s="9" t="inlineStr">
        <is>
          <t>☐</t>
        </is>
      </c>
      <c r="B21" s="66" t="inlineStr">
        <is>
          <t>Krave Sea Salt Original Beef Jerky</t>
        </is>
      </c>
      <c r="C21" s="9" t="n">
        <v>9</v>
      </c>
      <c r="D21" s="9" t="n">
        <v>12</v>
      </c>
      <c r="E21" s="9" t="n">
        <v>9</v>
      </c>
      <c r="F21" s="9" t="n">
        <v>9</v>
      </c>
      <c r="G21" s="9" t="n">
        <v>12</v>
      </c>
      <c r="H21" s="9" t="n">
        <v>9</v>
      </c>
      <c r="I21" s="9">
        <f>3*(C21+F21)+1*(D21+G21)+2*(E21+H21)</f>
        <v/>
      </c>
      <c r="J21" s="38" t="n">
        <v>2.19</v>
      </c>
      <c r="K21" s="38">
        <f>(C21+F21)*J21</f>
        <v/>
      </c>
      <c r="L21" s="38">
        <f>(D21+G21)*J21</f>
        <v/>
      </c>
      <c r="M21" s="38">
        <f>(E21+H21)*J21</f>
        <v/>
      </c>
      <c r="N21" s="38">
        <f>I21*J21</f>
        <v/>
      </c>
      <c r="O21" s="9" t="n">
        <v>1.48</v>
      </c>
      <c r="P21" s="39">
        <f>I21*O21</f>
        <v/>
      </c>
      <c r="Q21" s="10" t="inlineStr">
        <is>
          <t>Safe for nut allergy ✓</t>
        </is>
      </c>
    </row>
    <row r="22">
      <c r="A22" s="33" t="inlineStr">
        <is>
          <t>☐</t>
        </is>
      </c>
      <c r="B22" s="32" t="inlineStr">
        <is>
          <t>MET-Rx Big100 – Super Cookie Crunch</t>
        </is>
      </c>
      <c r="C22" s="33" t="n">
        <v>3</v>
      </c>
      <c r="D22" s="33" t="n">
        <v>4</v>
      </c>
      <c r="E22" s="33" t="n">
        <v>3</v>
      </c>
      <c r="F22" s="33" t="n">
        <v>6</v>
      </c>
      <c r="G22" s="33" t="n">
        <v>8</v>
      </c>
      <c r="H22" s="33" t="n">
        <v>6</v>
      </c>
      <c r="I22" s="33">
        <f>3*(C22+F22)+1*(D22+G22)+2*(E22+H22)</f>
        <v/>
      </c>
      <c r="J22" s="35" t="n">
        <v>2.19</v>
      </c>
      <c r="K22" s="35">
        <f>(C22+F22)*J22</f>
        <v/>
      </c>
      <c r="L22" s="35">
        <f>(D22+G22)*J22</f>
        <v/>
      </c>
      <c r="M22" s="35">
        <f>(E22+H22)*J22</f>
        <v/>
      </c>
      <c r="N22" s="35">
        <f>I22*J22</f>
        <v/>
      </c>
      <c r="O22" s="33" t="n">
        <v>3.53</v>
      </c>
      <c r="P22" s="36">
        <f>I22*O22</f>
        <v/>
      </c>
      <c r="Q22" s="32" t="inlineStr">
        <is>
          <t>Bkfst · ⚠ NUT</t>
        </is>
      </c>
    </row>
    <row r="23">
      <c r="A23" s="9" t="inlineStr">
        <is>
          <t>☐</t>
        </is>
      </c>
      <c r="B23" s="66" t="inlineStr">
        <is>
          <t>Mission Street Taco Flour Tortillas</t>
        </is>
      </c>
      <c r="C23" s="9" t="n">
        <v>30</v>
      </c>
      <c r="D23" s="9" t="n">
        <v>40</v>
      </c>
      <c r="E23" s="9" t="n">
        <v>30</v>
      </c>
      <c r="F23" s="9" t="n">
        <v>24</v>
      </c>
      <c r="G23" s="9" t="n">
        <v>32</v>
      </c>
      <c r="H23" s="9" t="n">
        <v>24</v>
      </c>
      <c r="I23" s="9">
        <f>3*(C23+F23)+1*(D23+G23)+2*(E23+H23)</f>
        <v/>
      </c>
      <c r="J23" s="38" t="n">
        <v>0.25</v>
      </c>
      <c r="K23" s="38">
        <f>(C23+F23)*J23</f>
        <v/>
      </c>
      <c r="L23" s="38">
        <f>(D23+G23)*J23</f>
        <v/>
      </c>
      <c r="M23" s="38">
        <f>(E23+H23)*J23</f>
        <v/>
      </c>
      <c r="N23" s="38">
        <f>I23*J23</f>
        <v/>
      </c>
      <c r="O23" s="9" t="n">
        <v>0.5</v>
      </c>
      <c r="P23" s="39">
        <f>I23*O23</f>
        <v/>
      </c>
      <c r="Q23" s="10" t="inlineStr">
        <is>
          <t>2/person; nut-free ✓</t>
        </is>
      </c>
    </row>
    <row r="24">
      <c r="A24" s="33" t="inlineStr">
        <is>
          <t>☐</t>
        </is>
      </c>
      <c r="B24" s="32" t="inlineStr">
        <is>
          <t>Once Again Organic Sunflower Butter Squeeze</t>
        </is>
      </c>
      <c r="C24" s="33" t="n">
        <v>0</v>
      </c>
      <c r="D24" s="33" t="n">
        <v>0</v>
      </c>
      <c r="E24" s="33" t="n">
        <v>0</v>
      </c>
      <c r="F24" s="33" t="n">
        <v>0</v>
      </c>
      <c r="G24" s="33" t="n">
        <v>0</v>
      </c>
      <c r="H24" s="33" t="n">
        <v>0</v>
      </c>
      <c r="I24" s="33" t="n">
        <v>4</v>
      </c>
      <c r="J24" s="35" t="n">
        <v>1.5</v>
      </c>
      <c r="K24" s="35">
        <f>(C24+F24)*J24</f>
        <v/>
      </c>
      <c r="L24" s="35">
        <f>(D24+G24)*J24</f>
        <v/>
      </c>
      <c r="M24" s="35">
        <f>(E24+H24)*J24</f>
        <v/>
      </c>
      <c r="N24" s="35">
        <f>I24*J24</f>
        <v/>
      </c>
      <c r="O24" s="33" t="n">
        <v>1.15</v>
      </c>
      <c r="P24" s="36">
        <f>I24*O24</f>
        <v/>
      </c>
      <c r="Q24" s="32" t="inlineStr">
        <is>
          <t>Allergy scout PB swap</t>
        </is>
      </c>
    </row>
    <row r="25">
      <c r="A25" s="9" t="inlineStr">
        <is>
          <t>☐</t>
        </is>
      </c>
      <c r="B25" s="10" t="inlineStr">
        <is>
          <t>Peak Refuel – Beef Pasta Marinara</t>
        </is>
      </c>
      <c r="C25" s="9" t="n">
        <v>4</v>
      </c>
      <c r="D25" s="9" t="n">
        <v>6</v>
      </c>
      <c r="E25" s="9" t="n">
        <v>6</v>
      </c>
      <c r="F25" s="9" t="n">
        <v>2</v>
      </c>
      <c r="G25" s="9" t="n">
        <v>3</v>
      </c>
      <c r="H25" s="9" t="n">
        <v>3</v>
      </c>
      <c r="I25" s="9">
        <f>3*(C25+F25)+1*(D25+G25)+2*(E25+H25)</f>
        <v/>
      </c>
      <c r="J25" s="38" t="n">
        <v>7.49</v>
      </c>
      <c r="K25" s="38">
        <f>(C25+F25)*J25</f>
        <v/>
      </c>
      <c r="L25" s="38">
        <f>(D25+G25)*J25</f>
        <v/>
      </c>
      <c r="M25" s="38">
        <f>(E25+H25)*J25</f>
        <v/>
      </c>
      <c r="N25" s="38">
        <f>I25*J25</f>
        <v/>
      </c>
      <c r="O25" s="9" t="n">
        <v>3.2</v>
      </c>
      <c r="P25" s="39">
        <f>I25*O25</f>
        <v/>
      </c>
      <c r="Q25" s="10" t="inlineStr">
        <is>
          <t>Sat dinner (1.5 svgs/pouch)</t>
        </is>
      </c>
    </row>
    <row r="26">
      <c r="A26" s="6" t="inlineStr">
        <is>
          <t>☐</t>
        </is>
      </c>
      <c r="B26" s="7" t="inlineStr">
        <is>
          <t>Peak Refuel – Beef Stroganoff</t>
        </is>
      </c>
      <c r="C26" s="6" t="n">
        <v>2</v>
      </c>
      <c r="D26" s="6" t="n">
        <v>3</v>
      </c>
      <c r="E26" s="6" t="n">
        <v>3</v>
      </c>
      <c r="F26" s="6" t="n">
        <v>2</v>
      </c>
      <c r="G26" s="6" t="n">
        <v>3</v>
      </c>
      <c r="H26" s="6" t="n">
        <v>3</v>
      </c>
      <c r="I26" s="6">
        <f>3*(C26+F26)+1*(D26+G26)+2*(E26+H26)</f>
        <v/>
      </c>
      <c r="J26" s="41" t="n">
        <v>7.49</v>
      </c>
      <c r="K26" s="41">
        <f>(C26+F26)*J26</f>
        <v/>
      </c>
      <c r="L26" s="41">
        <f>(D26+G26)*J26</f>
        <v/>
      </c>
      <c r="M26" s="41">
        <f>(E26+H26)*J26</f>
        <v/>
      </c>
      <c r="N26" s="41">
        <f>I26*J26</f>
        <v/>
      </c>
      <c r="O26" s="6" t="n">
        <v>3.5</v>
      </c>
      <c r="P26" s="42">
        <f>I26*O26</f>
        <v/>
      </c>
      <c r="Q26" s="7" t="inlineStr">
        <is>
          <t>Sun dinner (1.5 svgs/pouch)</t>
        </is>
      </c>
    </row>
    <row r="27">
      <c r="A27" s="9" t="inlineStr">
        <is>
          <t>☐</t>
        </is>
      </c>
      <c r="B27" s="10" t="inlineStr">
        <is>
          <t>Peak Refuel – Fudge Brownie Bites</t>
        </is>
      </c>
      <c r="C27" s="9" t="n">
        <v>2</v>
      </c>
      <c r="D27" s="9" t="n">
        <v>2</v>
      </c>
      <c r="E27" s="9" t="n">
        <v>2</v>
      </c>
      <c r="F27" s="9" t="n">
        <v>2</v>
      </c>
      <c r="G27" s="9" t="n">
        <v>2</v>
      </c>
      <c r="H27" s="9" t="n">
        <v>2</v>
      </c>
      <c r="I27" s="9">
        <f>3*(C27+F27)+1*(D27+G27)+2*(E27+H27)</f>
        <v/>
      </c>
      <c r="J27" s="38" t="n">
        <v>4.99</v>
      </c>
      <c r="K27" s="38">
        <f>(C27+F27)*J27</f>
        <v/>
      </c>
      <c r="L27" s="38">
        <f>(D27+G27)*J27</f>
        <v/>
      </c>
      <c r="M27" s="38">
        <f>(E27+H27)*J27</f>
        <v/>
      </c>
      <c r="N27" s="38">
        <f>I27*J27</f>
        <v/>
      </c>
      <c r="O27" s="9" t="n">
        <v>1.5</v>
      </c>
      <c r="P27" s="39">
        <f>I27*O27</f>
        <v/>
      </c>
      <c r="Q27" s="10" t="inlineStr">
        <is>
          <t>Buddy-pair shares pouch</t>
        </is>
      </c>
    </row>
    <row r="28">
      <c r="A28" s="33" t="inlineStr">
        <is>
          <t>☐</t>
        </is>
      </c>
      <c r="B28" s="32" t="inlineStr">
        <is>
          <t>ProBar Meal – Oatmeal Chocolate Chip</t>
        </is>
      </c>
      <c r="C28" s="33" t="n">
        <v>6</v>
      </c>
      <c r="D28" s="33" t="n">
        <v>8</v>
      </c>
      <c r="E28" s="33" t="n">
        <v>6</v>
      </c>
      <c r="F28" s="33" t="n">
        <v>6</v>
      </c>
      <c r="G28" s="33" t="n">
        <v>8</v>
      </c>
      <c r="H28" s="33" t="n">
        <v>6</v>
      </c>
      <c r="I28" s="33">
        <f>3*(C28+F28)+1*(D28+G28)+2*(E28+H28)</f>
        <v/>
      </c>
      <c r="J28" s="35" t="n">
        <v>2.99</v>
      </c>
      <c r="K28" s="35">
        <f>(C28+F28)*J28</f>
        <v/>
      </c>
      <c r="L28" s="35">
        <f>(D28+G28)*J28</f>
        <v/>
      </c>
      <c r="M28" s="35">
        <f>(E28+H28)*J28</f>
        <v/>
      </c>
      <c r="N28" s="35">
        <f>I28*J28</f>
        <v/>
      </c>
      <c r="O28" s="33" t="n">
        <v>3</v>
      </c>
      <c r="P28" s="36">
        <f>I28*O28</f>
        <v/>
      </c>
      <c r="Q28" s="32" t="inlineStr">
        <is>
          <t>Lunch · ⚠ NUT (cashews)</t>
        </is>
      </c>
    </row>
    <row r="29">
      <c r="A29" s="9" t="inlineStr">
        <is>
          <t>☐</t>
        </is>
      </c>
      <c r="B29" s="66" t="inlineStr">
        <is>
          <t>Swiss Miss Hot Chocolate</t>
        </is>
      </c>
      <c r="C29" s="9" t="n">
        <v>48</v>
      </c>
      <c r="D29" s="9" t="n">
        <v>64</v>
      </c>
      <c r="E29" s="9" t="n">
        <v>0</v>
      </c>
      <c r="F29" s="9" t="n">
        <v>42</v>
      </c>
      <c r="G29" s="9" t="n">
        <v>56</v>
      </c>
      <c r="H29" s="9" t="n">
        <v>0</v>
      </c>
      <c r="I29" s="9">
        <f>3*(C29+F29)+1*(D29+G29)+2*(E29+H29)</f>
        <v/>
      </c>
      <c r="J29" s="38" t="n">
        <v>0.38</v>
      </c>
      <c r="K29" s="38">
        <f>(C29+F29)*J29</f>
        <v/>
      </c>
      <c r="L29" s="38">
        <f>(D29+G29)*J29</f>
        <v/>
      </c>
      <c r="M29" s="38">
        <f>(E29+H29)*J29</f>
        <v/>
      </c>
      <c r="N29" s="38">
        <f>I29*J29</f>
        <v/>
      </c>
      <c r="O29" s="9" t="n">
        <v>0.73</v>
      </c>
      <c r="P29" s="39">
        <f>I29*O29</f>
        <v/>
      </c>
      <c r="Q29" s="10" t="inlineStr">
        <is>
          <t>Scouts only (2 packets/person)</t>
        </is>
      </c>
    </row>
    <row r="30">
      <c r="A30" s="6" t="inlineStr">
        <is>
          <t>☐</t>
        </is>
      </c>
      <c r="B30" s="66" t="inlineStr">
        <is>
          <t>Tillamook Cheddar Cheese Packets</t>
        </is>
      </c>
      <c r="C30" s="6" t="n">
        <v>18</v>
      </c>
      <c r="D30" s="6" t="n">
        <v>24</v>
      </c>
      <c r="E30" s="6" t="n">
        <v>18</v>
      </c>
      <c r="F30" s="6" t="n">
        <v>12</v>
      </c>
      <c r="G30" s="6" t="n">
        <v>16</v>
      </c>
      <c r="H30" s="6" t="n">
        <v>12</v>
      </c>
      <c r="I30" s="6">
        <f>3*(C30+F30)+1*(D30+G30)+2*(E30+H30)</f>
        <v/>
      </c>
      <c r="J30" s="41" t="n">
        <v>0.75</v>
      </c>
      <c r="K30" s="41">
        <f>(C30+F30)*J30</f>
        <v/>
      </c>
      <c r="L30" s="41">
        <f>(D30+G30)*J30</f>
        <v/>
      </c>
      <c r="M30" s="41">
        <f>(E30+H30)*J30</f>
        <v/>
      </c>
      <c r="N30" s="41">
        <f>I30*J30</f>
        <v/>
      </c>
      <c r="O30" s="6" t="n">
        <v>0.7</v>
      </c>
      <c r="P30" s="42">
        <f>I30*O30</f>
        <v/>
      </c>
      <c r="Q30" s="7" t="inlineStr">
        <is>
          <t>2/person; nut-free ✓</t>
        </is>
      </c>
    </row>
    <row r="31">
      <c r="A31" s="9" t="inlineStr">
        <is>
          <t>☐</t>
        </is>
      </c>
      <c r="B31" s="10" t="inlineStr">
        <is>
          <t>Trader Joe's Dried Mango Slices (1 oz)</t>
        </is>
      </c>
      <c r="C31" s="9" t="n">
        <v>3</v>
      </c>
      <c r="D31" s="9" t="n">
        <v>4</v>
      </c>
      <c r="E31" s="9" t="n">
        <v>3</v>
      </c>
      <c r="F31" s="9" t="n">
        <v>3</v>
      </c>
      <c r="G31" s="9" t="n">
        <v>4</v>
      </c>
      <c r="H31" s="9" t="n">
        <v>3</v>
      </c>
      <c r="I31" s="9">
        <f>3*(C31+F31)+1*(D31+G31)+2*(E31+H31)</f>
        <v/>
      </c>
      <c r="J31" s="38" t="n">
        <v>0.55</v>
      </c>
      <c r="K31" s="38">
        <f>(C31+F31)*J31</f>
        <v/>
      </c>
      <c r="L31" s="38">
        <f>(D31+G31)*J31</f>
        <v/>
      </c>
      <c r="M31" s="38">
        <f>(E31+H31)*J31</f>
        <v/>
      </c>
      <c r="N31" s="38">
        <f>I31*J31</f>
        <v/>
      </c>
      <c r="O31" s="9" t="n">
        <v>1</v>
      </c>
      <c r="P31" s="39">
        <f>I31*O31</f>
        <v/>
      </c>
      <c r="Q31" s="10" t="inlineStr">
        <is>
          <t>TJ's — Sat snack · nut-free ✓</t>
        </is>
      </c>
    </row>
    <row r="32">
      <c r="A32" s="6" t="inlineStr">
        <is>
          <t>☐</t>
        </is>
      </c>
      <c r="B32" s="7" t="inlineStr">
        <is>
          <t>Wasa Crisp'n Light Crackerbread</t>
        </is>
      </c>
      <c r="C32" s="6" t="n">
        <v>3</v>
      </c>
      <c r="D32" s="6" t="n">
        <v>4</v>
      </c>
      <c r="E32" s="6" t="n">
        <v>3</v>
      </c>
      <c r="F32" s="6" t="n">
        <v>3</v>
      </c>
      <c r="G32" s="6" t="n">
        <v>4</v>
      </c>
      <c r="H32" s="6" t="n">
        <v>3</v>
      </c>
      <c r="I32" s="6">
        <f>3*(C32+F32)+1*(D32+G32)+2*(E32+H32)</f>
        <v/>
      </c>
      <c r="J32" s="41" t="n">
        <v>0.5</v>
      </c>
      <c r="K32" s="41">
        <f>(C32+F32)*J32</f>
        <v/>
      </c>
      <c r="L32" s="41">
        <f>(D32+G32)*J32</f>
        <v/>
      </c>
      <c r="M32" s="41">
        <f>(E32+H32)*J32</f>
        <v/>
      </c>
      <c r="N32" s="41">
        <f>I32*J32</f>
        <v/>
      </c>
      <c r="O32" s="6" t="n">
        <v>1</v>
      </c>
      <c r="P32" s="42">
        <f>I32*O32</f>
        <v/>
      </c>
      <c r="Q32" s="7" t="inlineStr">
        <is>
          <t>Lunch side</t>
        </is>
      </c>
    </row>
    <row r="33">
      <c r="A33" s="67" t="n"/>
      <c r="B33" s="67" t="inlineStr">
        <is>
          <t>Grand Total</t>
        </is>
      </c>
      <c r="C33" s="67" t="n"/>
      <c r="D33" s="67" t="n"/>
      <c r="E33" s="67" t="n"/>
      <c r="F33" s="67" t="n"/>
      <c r="G33" s="67" t="n"/>
      <c r="H33" s="67" t="n"/>
      <c r="I33" s="67" t="n"/>
      <c r="J33" s="67" t="n"/>
      <c r="K33" s="68">
        <f>SUM(K4:K32)</f>
        <v/>
      </c>
      <c r="L33" s="68">
        <f>SUM(L4:L32)</f>
        <v/>
      </c>
      <c r="M33" s="68">
        <f>SUM(M4:M32)</f>
        <v/>
      </c>
      <c r="N33" s="68">
        <f>SUM(N4:N32)</f>
        <v/>
      </c>
      <c r="O33" s="67" t="n"/>
      <c r="P33" s="69">
        <f>SUM(P4:P32)</f>
        <v/>
      </c>
      <c r="Q33" s="6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9"/>
  <sheetViews>
    <sheetView showGridLines="1" workbookViewId="0">
      <selection activeCell="A1" sqref="A1"/>
    </sheetView>
  </sheetViews>
  <sheetFormatPr baseColWidth="8" defaultRowHeight="15"/>
  <cols>
    <col width="92" customWidth="1" min="1" max="1"/>
    <col width="13" customWidth="1" min="2" max="2"/>
    <col width="44" customWidth="1" min="3" max="3"/>
    <col width="14" customWidth="1" min="4" max="4"/>
    <col width="14" customWidth="1" min="5" max="5"/>
    <col width="14" customWidth="1" min="6" max="6"/>
    <col width="35" customWidth="1" min="7" max="7"/>
  </cols>
  <sheetData>
    <row r="1">
      <c r="A1" s="1" t="inlineStr">
        <is>
          <t>EMIGRANT WILDERNESS — BEAR CAN PACKING LIST  ·  July 25–30, 2026</t>
        </is>
      </c>
    </row>
    <row r="2">
      <c r="A2" s="2" t="inlineStr">
        <is>
          <t>Check off each item as you pack.   ★ = adult supplement.   Qty = items per bear can type.</t>
        </is>
      </c>
    </row>
    <row r="3"/>
    <row r="4" ht="28" customHeight="1">
      <c r="A4" s="65" t="inlineStr">
        <is>
          <t>Packed</t>
        </is>
      </c>
      <c r="B4" s="65" t="inlineStr">
        <is>
          <t>Meal</t>
        </is>
      </c>
      <c r="C4" s="65" t="inlineStr">
        <is>
          <t>Item</t>
        </is>
      </c>
      <c r="D4" s="65" t="inlineStr">
        <is>
          <t>Scout Can
(3 ppl) Qty</t>
        </is>
      </c>
      <c r="E4" s="65" t="inlineStr">
        <is>
          <t>Scout Can
(4 ppl) Qty</t>
        </is>
      </c>
      <c r="F4" s="65" t="inlineStr">
        <is>
          <t>Adult Can
(3 ppl) Qty</t>
        </is>
      </c>
      <c r="G4" s="65" t="inlineStr">
        <is>
          <t>Notes</t>
        </is>
      </c>
    </row>
    <row r="5" ht="24" customHeight="1">
      <c r="A5" s="27" t="inlineStr">
        <is>
          <t>PHASE 1 — INITIAL CARRY (DAYS 1–3) — PACK AT TRAILHEAD</t>
        </is>
      </c>
    </row>
    <row r="6" ht="22" customHeight="1">
      <c r="A6" s="28" t="inlineStr">
        <is>
          <t>SATURDAY  JUL 25 — DAY 1</t>
        </is>
      </c>
    </row>
    <row r="7">
      <c r="A7" s="70" t="inlineStr">
        <is>
          <t>☐</t>
        </is>
      </c>
      <c r="B7" s="32" t="inlineStr">
        <is>
          <t>SNACKS</t>
        </is>
      </c>
      <c r="C7" s="32" t="inlineStr">
        <is>
          <t>Kind – Peanut Butter Dark Chocolate Bar</t>
        </is>
      </c>
      <c r="D7" s="33" t="n">
        <v>3</v>
      </c>
      <c r="E7" s="33" t="n">
        <v>4</v>
      </c>
      <c r="F7" s="33" t="n">
        <v>3</v>
      </c>
      <c r="G7" s="32" t="inlineStr">
        <is>
          <t>hip-belt pocket; ⚠ NUT</t>
        </is>
      </c>
    </row>
    <row r="8">
      <c r="A8" s="70" t="inlineStr">
        <is>
          <t>☐</t>
        </is>
      </c>
      <c r="B8" s="32" t="inlineStr">
        <is>
          <t>SNACKS</t>
        </is>
      </c>
      <c r="C8" s="32" t="inlineStr">
        <is>
          <t>Kind – Caramel Almond &amp; Peanut Bar</t>
        </is>
      </c>
      <c r="D8" s="33" t="n">
        <v>3</v>
      </c>
      <c r="E8" s="33" t="n">
        <v>4</v>
      </c>
      <c r="F8" s="33" t="n">
        <v>3</v>
      </c>
      <c r="G8" s="32" t="inlineStr">
        <is>
          <t>hip-belt pocket; ⚠ NUT</t>
        </is>
      </c>
    </row>
    <row r="9">
      <c r="A9" s="11" t="inlineStr">
        <is>
          <t>☐</t>
        </is>
      </c>
      <c r="B9" s="10" t="inlineStr">
        <is>
          <t>SNACKS</t>
        </is>
      </c>
      <c r="C9" s="10" t="inlineStr">
        <is>
          <t>Krave Sea Salt Original Beef Jerky</t>
        </is>
      </c>
      <c r="D9" s="9" t="n">
        <v>3</v>
      </c>
      <c r="E9" s="9" t="n">
        <v>4</v>
      </c>
      <c r="F9" s="9" t="n">
        <v>3</v>
      </c>
      <c r="G9" s="10" t="inlineStr">
        <is>
          <t>hip-belt pocket; nut-free</t>
        </is>
      </c>
    </row>
    <row r="10">
      <c r="A10" s="12" t="inlineStr">
        <is>
          <t>☐</t>
        </is>
      </c>
      <c r="B10" s="7" t="inlineStr">
        <is>
          <t>SNACKS</t>
        </is>
      </c>
      <c r="C10" s="7" t="inlineStr">
        <is>
          <t>Gatorade Powder Pack</t>
        </is>
      </c>
      <c r="D10" s="6" t="n">
        <v>3</v>
      </c>
      <c r="E10" s="6" t="n">
        <v>4</v>
      </c>
      <c r="F10" s="6" t="n">
        <v>3</v>
      </c>
      <c r="G10" s="7" t="inlineStr">
        <is>
          <t>hip-belt pocket; electrolytes</t>
        </is>
      </c>
    </row>
    <row r="11">
      <c r="A11" s="11" t="inlineStr">
        <is>
          <t>☐</t>
        </is>
      </c>
      <c r="B11" s="10" t="inlineStr">
        <is>
          <t>SNACKS</t>
        </is>
      </c>
      <c r="C11" s="10" t="inlineStr">
        <is>
          <t>Trader Joe's Dried Mango Slices (1 oz)</t>
        </is>
      </c>
      <c r="D11" s="9" t="n">
        <v>3</v>
      </c>
      <c r="E11" s="9" t="n">
        <v>4</v>
      </c>
      <c r="F11" s="9" t="n">
        <v>3</v>
      </c>
      <c r="G11" s="10" t="inlineStr">
        <is>
          <t>hip-belt pocket; nut-free</t>
        </is>
      </c>
    </row>
    <row r="12">
      <c r="A12" s="70" t="inlineStr">
        <is>
          <t>☐</t>
        </is>
      </c>
      <c r="B12" s="32" t="inlineStr">
        <is>
          <t>LUNCH</t>
        </is>
      </c>
      <c r="C12" s="32" t="inlineStr">
        <is>
          <t>ProBar Meal – Oatmeal Chocolate Chip</t>
        </is>
      </c>
      <c r="D12" s="33" t="n">
        <v>3</v>
      </c>
      <c r="E12" s="33" t="n">
        <v>4</v>
      </c>
      <c r="F12" s="33" t="n">
        <v>3</v>
      </c>
      <c r="G12" s="32" t="inlineStr">
        <is>
          <t>no cook; ⚠ NUT</t>
        </is>
      </c>
    </row>
    <row r="13">
      <c r="A13" s="11" t="inlineStr">
        <is>
          <t>☐</t>
        </is>
      </c>
      <c r="B13" s="10" t="inlineStr">
        <is>
          <t>DINNER</t>
        </is>
      </c>
      <c r="C13" s="10" t="inlineStr">
        <is>
          <t>Peak Refuel – Beef Pasta Marinara</t>
        </is>
      </c>
      <c r="D13" s="9" t="n">
        <v>2</v>
      </c>
      <c r="E13" s="9" t="n">
        <v>3</v>
      </c>
      <c r="F13" s="9" t="n">
        <v>3</v>
      </c>
      <c r="G13" s="10" t="inlineStr">
        <is>
          <t>hot · 1.5 svgs/pouch</t>
        </is>
      </c>
    </row>
    <row r="14">
      <c r="A14" s="12" t="inlineStr">
        <is>
          <t>☐</t>
        </is>
      </c>
      <c r="B14" s="7" t="inlineStr">
        <is>
          <t>DINNER</t>
        </is>
      </c>
      <c r="C14" s="7" t="inlineStr">
        <is>
          <t>Flour Tortillas</t>
        </is>
      </c>
      <c r="D14" s="6" t="n">
        <v>6</v>
      </c>
      <c r="E14" s="6" t="n">
        <v>8</v>
      </c>
      <c r="F14" s="6" t="n">
        <v>6</v>
      </c>
      <c r="G14" s="7" t="inlineStr">
        <is>
          <t>dinner wraps + side</t>
        </is>
      </c>
    </row>
    <row r="15">
      <c r="A15" s="11" t="inlineStr">
        <is>
          <t>☐</t>
        </is>
      </c>
      <c r="B15" s="10" t="inlineStr">
        <is>
          <t>DINNER</t>
        </is>
      </c>
      <c r="C15" s="10" t="inlineStr">
        <is>
          <t>Tillamook Cheddar Cheese Packets</t>
        </is>
      </c>
      <c r="D15" s="9" t="n">
        <v>6</v>
      </c>
      <c r="E15" s="9" t="n">
        <v>8</v>
      </c>
      <c r="F15" s="9" t="n">
        <v>6</v>
      </c>
      <c r="G15" s="10" t="inlineStr">
        <is>
          <t>dinner side</t>
        </is>
      </c>
    </row>
    <row r="16">
      <c r="A16" s="12" t="inlineStr">
        <is>
          <t>☐</t>
        </is>
      </c>
      <c r="B16" s="7" t="inlineStr">
        <is>
          <t>DINNER</t>
        </is>
      </c>
      <c r="C16" s="7" t="inlineStr">
        <is>
          <t>Swiss Miss Hot Chocolate</t>
        </is>
      </c>
      <c r="D16" s="6" t="n">
        <v>6</v>
      </c>
      <c r="E16" s="6" t="n">
        <v>8</v>
      </c>
      <c r="F16" s="6" t="n">
        <v>0</v>
      </c>
      <c r="G16" s="7" t="inlineStr">
        <is>
          <t>scouts only</t>
        </is>
      </c>
    </row>
    <row r="17">
      <c r="A17" s="11" t="inlineStr">
        <is>
          <t>☐</t>
        </is>
      </c>
      <c r="B17" s="10" t="inlineStr">
        <is>
          <t>DESSERT</t>
        </is>
      </c>
      <c r="C17" s="10" t="inlineStr">
        <is>
          <t>Backpacker's Pantry Crème Brûlée</t>
        </is>
      </c>
      <c r="D17" s="9" t="n">
        <v>2</v>
      </c>
      <c r="E17" s="9" t="n">
        <v>2</v>
      </c>
      <c r="F17" s="9" t="n">
        <v>2</v>
      </c>
      <c r="G17" s="10" t="inlineStr">
        <is>
          <t>hot · buddy-pair shares pouch</t>
        </is>
      </c>
    </row>
    <row r="18">
      <c r="A18" s="12" t="inlineStr">
        <is>
          <t>☐</t>
        </is>
      </c>
      <c r="B18" s="7" t="inlineStr">
        <is>
          <t>DESSERT</t>
        </is>
      </c>
      <c r="C18" s="7" t="inlineStr">
        <is>
          <t>Swiss Miss Hot Chocolate</t>
        </is>
      </c>
      <c r="D18" s="6" t="n">
        <v>6</v>
      </c>
      <c r="E18" s="6" t="n">
        <v>8</v>
      </c>
      <c r="F18" s="6" t="n">
        <v>0</v>
      </c>
      <c r="G18" s="7" t="inlineStr">
        <is>
          <t>scouts only</t>
        </is>
      </c>
    </row>
    <row r="19" ht="22" customHeight="1">
      <c r="A19" s="28" t="inlineStr">
        <is>
          <t>SUNDAY  JUL 26 — DAY 2</t>
        </is>
      </c>
    </row>
    <row r="20">
      <c r="A20" s="70" t="inlineStr">
        <is>
          <t>☐</t>
        </is>
      </c>
      <c r="B20" s="32" t="inlineStr">
        <is>
          <t>BREAKFAST</t>
        </is>
      </c>
      <c r="C20" s="32" t="inlineStr">
        <is>
          <t>MET-Rx Big100 – Super Cookie Crunch</t>
        </is>
      </c>
      <c r="D20" s="33" t="n">
        <v>3</v>
      </c>
      <c r="E20" s="33" t="n">
        <v>4</v>
      </c>
      <c r="F20" s="33" t="n">
        <v>3</v>
      </c>
      <c r="G20" s="32" t="inlineStr">
        <is>
          <t>grab &amp; go; ⚠ NUT</t>
        </is>
      </c>
    </row>
    <row r="21">
      <c r="A21" s="11" t="inlineStr">
        <is>
          <t>☐</t>
        </is>
      </c>
      <c r="B21" s="10" t="inlineStr">
        <is>
          <t>BREAKFAST</t>
        </is>
      </c>
      <c r="C21" s="10" t="inlineStr">
        <is>
          <t>Swiss Miss Hot Chocolate</t>
        </is>
      </c>
      <c r="D21" s="9" t="n">
        <v>6</v>
      </c>
      <c r="E21" s="9" t="n">
        <v>8</v>
      </c>
      <c r="F21" s="9" t="n">
        <v>0</v>
      </c>
      <c r="G21" s="10" t="inlineStr">
        <is>
          <t>scouts only</t>
        </is>
      </c>
    </row>
    <row r="22">
      <c r="A22" s="71" t="inlineStr">
        <is>
          <t>☐</t>
        </is>
      </c>
      <c r="B22" s="52" t="inlineStr">
        <is>
          <t>BREAKFAST</t>
        </is>
      </c>
      <c r="C22" s="52" t="inlineStr">
        <is>
          <t>Adults: own coffee / tea</t>
        </is>
      </c>
      <c r="D22" s="53" t="n">
        <v>0</v>
      </c>
      <c r="E22" s="53" t="n">
        <v>0</v>
      </c>
      <c r="F22" s="53" t="n">
        <v>3</v>
      </c>
      <c r="G22" s="52" t="inlineStr">
        <is>
          <t>adults only ★</t>
        </is>
      </c>
    </row>
    <row r="23">
      <c r="A23" s="11" t="inlineStr">
        <is>
          <t>☐</t>
        </is>
      </c>
      <c r="B23" s="10" t="inlineStr">
        <is>
          <t>SNACKS</t>
        </is>
      </c>
      <c r="C23" s="10" t="inlineStr">
        <is>
          <t>Krave Sea Salt Original Beef Jerky</t>
        </is>
      </c>
      <c r="D23" s="9" t="n">
        <v>3</v>
      </c>
      <c r="E23" s="9" t="n">
        <v>4</v>
      </c>
      <c r="F23" s="9" t="n">
        <v>3</v>
      </c>
      <c r="G23" s="10" t="inlineStr">
        <is>
          <t>hip-belt pocket; nut-free</t>
        </is>
      </c>
    </row>
    <row r="24">
      <c r="A24" s="70" t="inlineStr">
        <is>
          <t>☐</t>
        </is>
      </c>
      <c r="B24" s="32" t="inlineStr">
        <is>
          <t>SNACKS</t>
        </is>
      </c>
      <c r="C24" s="32" t="inlineStr">
        <is>
          <t>Kind – Dark Choc Nuts &amp; Sea Salt Bar</t>
        </is>
      </c>
      <c r="D24" s="33" t="n">
        <v>3</v>
      </c>
      <c r="E24" s="33" t="n">
        <v>4</v>
      </c>
      <c r="F24" s="33" t="n">
        <v>3</v>
      </c>
      <c r="G24" s="32" t="inlineStr">
        <is>
          <t>hip-belt pocket; ⚠ NUT</t>
        </is>
      </c>
    </row>
    <row r="25">
      <c r="A25" s="11" t="inlineStr">
        <is>
          <t>☐</t>
        </is>
      </c>
      <c r="B25" s="10" t="inlineStr">
        <is>
          <t>SNACKS</t>
        </is>
      </c>
      <c r="C25" s="10" t="inlineStr">
        <is>
          <t>Gatorade Powder Pack</t>
        </is>
      </c>
      <c r="D25" s="9" t="n">
        <v>6</v>
      </c>
      <c r="E25" s="9" t="n">
        <v>8</v>
      </c>
      <c r="F25" s="9" t="n">
        <v>6</v>
      </c>
      <c r="G25" s="10" t="inlineStr">
        <is>
          <t>×2/person; climb day</t>
        </is>
      </c>
    </row>
    <row r="26">
      <c r="A26" s="12" t="inlineStr">
        <is>
          <t>☐</t>
        </is>
      </c>
      <c r="B26" s="7" t="inlineStr">
        <is>
          <t>SNACKS</t>
        </is>
      </c>
      <c r="C26" s="7" t="inlineStr">
        <is>
          <t>Banana Chips (1 oz)</t>
        </is>
      </c>
      <c r="D26" s="6" t="n">
        <v>3</v>
      </c>
      <c r="E26" s="6" t="n">
        <v>4</v>
      </c>
      <c r="F26" s="6" t="n">
        <v>3</v>
      </c>
      <c r="G26" s="7" t="inlineStr">
        <is>
          <t>nut-free</t>
        </is>
      </c>
    </row>
    <row r="27">
      <c r="A27" s="11" t="inlineStr">
        <is>
          <t>☐</t>
        </is>
      </c>
      <c r="B27" s="10" t="inlineStr">
        <is>
          <t>LUNCH</t>
        </is>
      </c>
      <c r="C27" s="10" t="inlineStr">
        <is>
          <t>Chicken of the Sea Shredded Chicken Pouch</t>
        </is>
      </c>
      <c r="D27" s="9" t="n">
        <v>3</v>
      </c>
      <c r="E27" s="9" t="n">
        <v>4</v>
      </c>
      <c r="F27" s="9" t="n">
        <v>3</v>
      </c>
      <c r="G27" s="10" t="inlineStr">
        <is>
          <t>no cook; nut-free</t>
        </is>
      </c>
    </row>
    <row r="28">
      <c r="A28" s="12" t="inlineStr">
        <is>
          <t>☐</t>
        </is>
      </c>
      <c r="B28" s="7" t="inlineStr">
        <is>
          <t>LUNCH</t>
        </is>
      </c>
      <c r="C28" s="7" t="inlineStr">
        <is>
          <t>Flour Tortillas</t>
        </is>
      </c>
      <c r="D28" s="6" t="n">
        <v>6</v>
      </c>
      <c r="E28" s="6" t="n">
        <v>8</v>
      </c>
      <c r="F28" s="6" t="n">
        <v>6</v>
      </c>
      <c r="G28" s="7" t="inlineStr">
        <is>
          <t>lunch wraps</t>
        </is>
      </c>
    </row>
    <row r="29">
      <c r="A29" s="11" t="inlineStr">
        <is>
          <t>☐</t>
        </is>
      </c>
      <c r="B29" s="10" t="inlineStr">
        <is>
          <t>LUNCH</t>
        </is>
      </c>
      <c r="C29" s="10" t="inlineStr">
        <is>
          <t>Tillamook Cheddar Cheese Packets</t>
        </is>
      </c>
      <c r="D29" s="9" t="n">
        <v>3</v>
      </c>
      <c r="E29" s="9" t="n">
        <v>4</v>
      </c>
      <c r="F29" s="9" t="n">
        <v>3</v>
      </c>
      <c r="G29" s="10" t="inlineStr">
        <is>
          <t>lunch side</t>
        </is>
      </c>
    </row>
    <row r="30">
      <c r="A30" s="70" t="inlineStr">
        <is>
          <t>☐</t>
        </is>
      </c>
      <c r="B30" s="32" t="inlineStr">
        <is>
          <t>LUNCH</t>
        </is>
      </c>
      <c r="C30" s="32" t="inlineStr">
        <is>
          <t>Clif Bar – Crunchy PB</t>
        </is>
      </c>
      <c r="D30" s="33" t="n">
        <v>3</v>
      </c>
      <c r="E30" s="33" t="n">
        <v>4</v>
      </c>
      <c r="F30" s="33" t="n">
        <v>3</v>
      </c>
      <c r="G30" s="32" t="inlineStr">
        <is>
          <t>lunch snack; ⚠ NUT</t>
        </is>
      </c>
    </row>
    <row r="31">
      <c r="A31" s="70" t="inlineStr">
        <is>
          <t>☐</t>
        </is>
      </c>
      <c r="B31" s="32" t="inlineStr">
        <is>
          <t>LUNCH</t>
        </is>
      </c>
      <c r="C31" s="32" t="inlineStr">
        <is>
          <t>Justin's Classic PB Squeeze Pack</t>
        </is>
      </c>
      <c r="D31" s="33" t="n">
        <v>3</v>
      </c>
      <c r="E31" s="33" t="n">
        <v>4</v>
      </c>
      <c r="F31" s="33" t="n">
        <v>3</v>
      </c>
      <c r="G31" s="32" t="inlineStr">
        <is>
          <t>lunch side; ⚠ NUT</t>
        </is>
      </c>
    </row>
    <row r="32">
      <c r="A32" s="70" t="inlineStr">
        <is>
          <t>☐</t>
        </is>
      </c>
      <c r="B32" s="32" t="inlineStr">
        <is>
          <t>SUPPLEMENT</t>
        </is>
      </c>
      <c r="C32" s="32" t="inlineStr">
        <is>
          <t>Clif Builder's Bar (adult supplement)</t>
        </is>
      </c>
      <c r="D32" s="33" t="n">
        <v>0</v>
      </c>
      <c r="E32" s="33" t="n">
        <v>0</v>
      </c>
      <c r="F32" s="33" t="n">
        <v>3</v>
      </c>
      <c r="G32" s="32" t="inlineStr">
        <is>
          <t>pre-dinner; adults only ★; ⚠ NUT</t>
        </is>
      </c>
    </row>
    <row r="33">
      <c r="A33" s="70" t="inlineStr">
        <is>
          <t>☐</t>
        </is>
      </c>
      <c r="B33" s="32" t="inlineStr">
        <is>
          <t>SUPPLEMENT</t>
        </is>
      </c>
      <c r="C33" s="32" t="inlineStr">
        <is>
          <t>Justin's PB Squeeze (adult supplement)</t>
        </is>
      </c>
      <c r="D33" s="33" t="n">
        <v>0</v>
      </c>
      <c r="E33" s="33" t="n">
        <v>0</v>
      </c>
      <c r="F33" s="33" t="n">
        <v>3</v>
      </c>
      <c r="G33" s="32" t="inlineStr">
        <is>
          <t>any time; adults only ★; ⚠ NUT</t>
        </is>
      </c>
    </row>
    <row r="34">
      <c r="A34" s="12" t="inlineStr">
        <is>
          <t>☐</t>
        </is>
      </c>
      <c r="B34" s="7" t="inlineStr">
        <is>
          <t>DINNER</t>
        </is>
      </c>
      <c r="C34" s="7" t="inlineStr">
        <is>
          <t>Peak Refuel – Beef Stroganoff</t>
        </is>
      </c>
      <c r="D34" s="6" t="n">
        <v>2</v>
      </c>
      <c r="E34" s="6" t="n">
        <v>3</v>
      </c>
      <c r="F34" s="6" t="n">
        <v>3</v>
      </c>
      <c r="G34" s="7" t="inlineStr">
        <is>
          <t>hot · 1.5 svgs/pouch</t>
        </is>
      </c>
    </row>
    <row r="35">
      <c r="A35" s="11" t="inlineStr">
        <is>
          <t>☐</t>
        </is>
      </c>
      <c r="B35" s="10" t="inlineStr">
        <is>
          <t>DINNER</t>
        </is>
      </c>
      <c r="C35" s="10" t="inlineStr">
        <is>
          <t>Flour Tortillas</t>
        </is>
      </c>
      <c r="D35" s="9" t="n">
        <v>6</v>
      </c>
      <c r="E35" s="9" t="n">
        <v>8</v>
      </c>
      <c r="F35" s="9" t="n">
        <v>6</v>
      </c>
      <c r="G35" s="10" t="inlineStr">
        <is>
          <t>dinner wraps</t>
        </is>
      </c>
    </row>
    <row r="36">
      <c r="A36" s="12" t="inlineStr">
        <is>
          <t>☐</t>
        </is>
      </c>
      <c r="B36" s="7" t="inlineStr">
        <is>
          <t>DINNER</t>
        </is>
      </c>
      <c r="C36" s="7" t="inlineStr">
        <is>
          <t>Idahoan Mashed Potatoes</t>
        </is>
      </c>
      <c r="D36" s="6" t="n">
        <v>3</v>
      </c>
      <c r="E36" s="6" t="n">
        <v>4</v>
      </c>
      <c r="F36" s="6" t="n">
        <v>3</v>
      </c>
      <c r="G36" s="7" t="inlineStr">
        <is>
          <t>dinner side</t>
        </is>
      </c>
    </row>
    <row r="37">
      <c r="A37" s="11" t="inlineStr">
        <is>
          <t>☐</t>
        </is>
      </c>
      <c r="B37" s="10" t="inlineStr">
        <is>
          <t>DINNER</t>
        </is>
      </c>
      <c r="C37" s="10" t="inlineStr">
        <is>
          <t>Swiss Miss Hot Chocolate</t>
        </is>
      </c>
      <c r="D37" s="9" t="n">
        <v>6</v>
      </c>
      <c r="E37" s="9" t="n">
        <v>8</v>
      </c>
      <c r="F37" s="9" t="n">
        <v>0</v>
      </c>
      <c r="G37" s="10" t="inlineStr">
        <is>
          <t>scouts only</t>
        </is>
      </c>
    </row>
    <row r="38">
      <c r="A38" s="70" t="inlineStr">
        <is>
          <t>☐</t>
        </is>
      </c>
      <c r="B38" s="32" t="inlineStr">
        <is>
          <t>DESSERT</t>
        </is>
      </c>
      <c r="C38" s="32" t="inlineStr">
        <is>
          <t>Justin's Dark Choc PB Cups</t>
        </is>
      </c>
      <c r="D38" s="33" t="n">
        <v>3</v>
      </c>
      <c r="E38" s="33" t="n">
        <v>4</v>
      </c>
      <c r="F38" s="33" t="n">
        <v>3</v>
      </c>
      <c r="G38" s="32" t="inlineStr">
        <is>
          <t>1 packet/person; ⚠ NUT</t>
        </is>
      </c>
    </row>
    <row r="39">
      <c r="A39" s="11" t="inlineStr">
        <is>
          <t>☐</t>
        </is>
      </c>
      <c r="B39" s="10" t="inlineStr">
        <is>
          <t>DESSERT</t>
        </is>
      </c>
      <c r="C39" s="10" t="inlineStr">
        <is>
          <t>Swiss Miss Hot Chocolate</t>
        </is>
      </c>
      <c r="D39" s="9" t="n">
        <v>6</v>
      </c>
      <c r="E39" s="9" t="n">
        <v>8</v>
      </c>
      <c r="F39" s="9" t="n">
        <v>0</v>
      </c>
      <c r="G39" s="10" t="inlineStr">
        <is>
          <t>scouts only</t>
        </is>
      </c>
    </row>
    <row r="40" ht="22" customHeight="1">
      <c r="A40" s="28" t="inlineStr">
        <is>
          <t>MONDAY  JUL 27 — DAY 3</t>
        </is>
      </c>
    </row>
    <row r="41">
      <c r="A41" s="70" t="inlineStr">
        <is>
          <t>☐</t>
        </is>
      </c>
      <c r="B41" s="32" t="inlineStr">
        <is>
          <t>BREAKFAST</t>
        </is>
      </c>
      <c r="C41" s="32" t="inlineStr">
        <is>
          <t>ProBar Meal – Oatmeal Chocolate Chip</t>
        </is>
      </c>
      <c r="D41" s="33" t="n">
        <v>3</v>
      </c>
      <c r="E41" s="33" t="n">
        <v>4</v>
      </c>
      <c r="F41" s="33" t="n">
        <v>3</v>
      </c>
      <c r="G41" s="32" t="inlineStr">
        <is>
          <t>grab &amp; go; ⚠ NUT (cashews)</t>
        </is>
      </c>
    </row>
    <row r="42">
      <c r="A42" s="12" t="inlineStr">
        <is>
          <t>☐</t>
        </is>
      </c>
      <c r="B42" s="7" t="inlineStr">
        <is>
          <t>BREAKFAST</t>
        </is>
      </c>
      <c r="C42" s="7" t="inlineStr">
        <is>
          <t>Swiss Miss Hot Chocolate</t>
        </is>
      </c>
      <c r="D42" s="6" t="n">
        <v>6</v>
      </c>
      <c r="E42" s="6" t="n">
        <v>8</v>
      </c>
      <c r="F42" s="6" t="n">
        <v>0</v>
      </c>
      <c r="G42" s="7" t="inlineStr">
        <is>
          <t>scouts only</t>
        </is>
      </c>
    </row>
    <row r="43">
      <c r="A43" s="71" t="inlineStr">
        <is>
          <t>☐</t>
        </is>
      </c>
      <c r="B43" s="52" t="inlineStr">
        <is>
          <t>BREAKFAST</t>
        </is>
      </c>
      <c r="C43" s="52" t="inlineStr">
        <is>
          <t>Adults: own coffee / tea</t>
        </is>
      </c>
      <c r="D43" s="53" t="n">
        <v>0</v>
      </c>
      <c r="E43" s="53" t="n">
        <v>0</v>
      </c>
      <c r="F43" s="53" t="n">
        <v>3</v>
      </c>
      <c r="G43" s="52" t="inlineStr">
        <is>
          <t>adults only ★</t>
        </is>
      </c>
    </row>
    <row r="44">
      <c r="A44" s="12" t="inlineStr">
        <is>
          <t>☐</t>
        </is>
      </c>
      <c r="B44" s="7" t="inlineStr">
        <is>
          <t>SNACKS</t>
        </is>
      </c>
      <c r="C44" s="7" t="inlineStr">
        <is>
          <t>Krave Sea Salt Original Beef Jerky</t>
        </is>
      </c>
      <c r="D44" s="6" t="n">
        <v>3</v>
      </c>
      <c r="E44" s="6" t="n">
        <v>4</v>
      </c>
      <c r="F44" s="6" t="n">
        <v>3</v>
      </c>
      <c r="G44" s="7" t="inlineStr">
        <is>
          <t>hip-belt pocket; nut-free</t>
        </is>
      </c>
    </row>
    <row r="45">
      <c r="A45" s="70" t="inlineStr">
        <is>
          <t>☐</t>
        </is>
      </c>
      <c r="B45" s="32" t="inlineStr">
        <is>
          <t>SNACKS</t>
        </is>
      </c>
      <c r="C45" s="32" t="inlineStr">
        <is>
          <t>Clif Bar – Crunchy PB</t>
        </is>
      </c>
      <c r="D45" s="33" t="n">
        <v>3</v>
      </c>
      <c r="E45" s="33" t="n">
        <v>4</v>
      </c>
      <c r="F45" s="33" t="n">
        <v>3</v>
      </c>
      <c r="G45" s="32" t="inlineStr">
        <is>
          <t>hip-belt pocket; ⚠ NUT</t>
        </is>
      </c>
    </row>
    <row r="46">
      <c r="A46" s="12" t="inlineStr">
        <is>
          <t>☐</t>
        </is>
      </c>
      <c r="B46" s="7" t="inlineStr">
        <is>
          <t>SNACKS</t>
        </is>
      </c>
      <c r="C46" s="7" t="inlineStr">
        <is>
          <t>Gatorade Powder Pack</t>
        </is>
      </c>
      <c r="D46" s="6" t="n">
        <v>3</v>
      </c>
      <c r="E46" s="6" t="n">
        <v>4</v>
      </c>
      <c r="F46" s="6" t="n">
        <v>3</v>
      </c>
      <c r="G46" s="7" t="inlineStr">
        <is>
          <t>hip-belt pocket; electrolytes</t>
        </is>
      </c>
    </row>
    <row r="47">
      <c r="A47" s="11" t="inlineStr">
        <is>
          <t>☐</t>
        </is>
      </c>
      <c r="B47" s="10" t="inlineStr">
        <is>
          <t>SNACKS</t>
        </is>
      </c>
      <c r="C47" s="10" t="inlineStr">
        <is>
          <t>Peak Refuel – Fudge Brownie Bites</t>
        </is>
      </c>
      <c r="D47" s="9" t="n">
        <v>2</v>
      </c>
      <c r="E47" s="9" t="n">
        <v>2</v>
      </c>
      <c r="F47" s="9" t="n">
        <v>2</v>
      </c>
      <c r="G47" s="10" t="inlineStr">
        <is>
          <t>morale afternoon snack; nut-free</t>
        </is>
      </c>
    </row>
    <row r="48">
      <c r="A48" s="12" t="inlineStr">
        <is>
          <t>☐</t>
        </is>
      </c>
      <c r="B48" s="7" t="inlineStr">
        <is>
          <t>LUNCH</t>
        </is>
      </c>
      <c r="C48" s="7" t="inlineStr">
        <is>
          <t>Columbus Hard Salami (packet)</t>
        </is>
      </c>
      <c r="D48" s="6" t="n">
        <v>3</v>
      </c>
      <c r="E48" s="6" t="n">
        <v>4</v>
      </c>
      <c r="F48" s="6" t="n">
        <v>3</v>
      </c>
      <c r="G48" s="7" t="inlineStr">
        <is>
          <t>no cook; nut-free</t>
        </is>
      </c>
    </row>
    <row r="49">
      <c r="A49" s="11" t="inlineStr">
        <is>
          <t>☐</t>
        </is>
      </c>
      <c r="B49" s="10" t="inlineStr">
        <is>
          <t>LUNCH</t>
        </is>
      </c>
      <c r="C49" s="10" t="inlineStr">
        <is>
          <t>Wasa Crispbread</t>
        </is>
      </c>
      <c r="D49" s="9" t="n">
        <v>3</v>
      </c>
      <c r="E49" s="9" t="n">
        <v>4</v>
      </c>
      <c r="F49" s="9" t="n">
        <v>3</v>
      </c>
      <c r="G49" s="10" t="inlineStr">
        <is>
          <t>no cook; nut-free</t>
        </is>
      </c>
    </row>
    <row r="50">
      <c r="A50" s="12" t="inlineStr">
        <is>
          <t>☐</t>
        </is>
      </c>
      <c r="B50" s="7" t="inlineStr">
        <is>
          <t>LUNCH</t>
        </is>
      </c>
      <c r="C50" s="7" t="inlineStr">
        <is>
          <t>Flour Tortillas</t>
        </is>
      </c>
      <c r="D50" s="6" t="n">
        <v>6</v>
      </c>
      <c r="E50" s="6" t="n">
        <v>8</v>
      </c>
      <c r="F50" s="6" t="n">
        <v>6</v>
      </c>
      <c r="G50" s="7" t="inlineStr">
        <is>
          <t>lunch wraps</t>
        </is>
      </c>
    </row>
    <row r="51">
      <c r="A51" s="11" t="inlineStr">
        <is>
          <t>☐</t>
        </is>
      </c>
      <c r="B51" s="10" t="inlineStr">
        <is>
          <t>LUNCH</t>
        </is>
      </c>
      <c r="C51" s="10" t="inlineStr">
        <is>
          <t>Tillamook Cheddar Cheese Packets</t>
        </is>
      </c>
      <c r="D51" s="9" t="n">
        <v>3</v>
      </c>
      <c r="E51" s="9" t="n">
        <v>4</v>
      </c>
      <c r="F51" s="9" t="n">
        <v>3</v>
      </c>
      <c r="G51" s="10" t="inlineStr">
        <is>
          <t>lunch side</t>
        </is>
      </c>
    </row>
    <row r="52">
      <c r="A52" s="70" t="inlineStr">
        <is>
          <t>☐</t>
        </is>
      </c>
      <c r="B52" s="32" t="inlineStr">
        <is>
          <t>LUNCH</t>
        </is>
      </c>
      <c r="C52" s="32" t="inlineStr">
        <is>
          <t>Justin's Classic PB Squeeze Pack</t>
        </is>
      </c>
      <c r="D52" s="33" t="n">
        <v>3</v>
      </c>
      <c r="E52" s="33" t="n">
        <v>4</v>
      </c>
      <c r="F52" s="33" t="n">
        <v>3</v>
      </c>
      <c r="G52" s="32" t="inlineStr">
        <is>
          <t>lunch side; ⚠ NUT</t>
        </is>
      </c>
    </row>
    <row r="53">
      <c r="A53" s="11" t="inlineStr">
        <is>
          <t>☐</t>
        </is>
      </c>
      <c r="B53" s="10" t="inlineStr">
        <is>
          <t>DINNER</t>
        </is>
      </c>
      <c r="C53" s="10" t="inlineStr">
        <is>
          <t>Peak Refuel – Beef Pasta Marinara</t>
        </is>
      </c>
      <c r="D53" s="9" t="n">
        <v>2</v>
      </c>
      <c r="E53" s="9" t="n">
        <v>3</v>
      </c>
      <c r="F53" s="9" t="n">
        <v>3</v>
      </c>
      <c r="G53" s="10" t="inlineStr">
        <is>
          <t>hot · 1.5 svgs/pouch</t>
        </is>
      </c>
    </row>
    <row r="54">
      <c r="A54" s="12" t="inlineStr">
        <is>
          <t>☐</t>
        </is>
      </c>
      <c r="B54" s="7" t="inlineStr">
        <is>
          <t>DINNER</t>
        </is>
      </c>
      <c r="C54" s="7" t="inlineStr">
        <is>
          <t>Flour Tortillas</t>
        </is>
      </c>
      <c r="D54" s="6" t="n">
        <v>6</v>
      </c>
      <c r="E54" s="6" t="n">
        <v>8</v>
      </c>
      <c r="F54" s="6" t="n">
        <v>6</v>
      </c>
      <c r="G54" s="7" t="inlineStr">
        <is>
          <t>dinner wraps + side</t>
        </is>
      </c>
    </row>
    <row r="55">
      <c r="A55" s="11" t="inlineStr">
        <is>
          <t>☐</t>
        </is>
      </c>
      <c r="B55" s="10" t="inlineStr">
        <is>
          <t>DINNER</t>
        </is>
      </c>
      <c r="C55" s="10" t="inlineStr">
        <is>
          <t>Tillamook Cheddar Cheese Packets</t>
        </is>
      </c>
      <c r="D55" s="9" t="n">
        <v>6</v>
      </c>
      <c r="E55" s="9" t="n">
        <v>8</v>
      </c>
      <c r="F55" s="9" t="n">
        <v>6</v>
      </c>
      <c r="G55" s="10" t="inlineStr">
        <is>
          <t>dinner side</t>
        </is>
      </c>
    </row>
    <row r="56">
      <c r="A56" s="12" t="inlineStr">
        <is>
          <t>☐</t>
        </is>
      </c>
      <c r="B56" s="7" t="inlineStr">
        <is>
          <t>DINNER</t>
        </is>
      </c>
      <c r="C56" s="7" t="inlineStr">
        <is>
          <t>Swiss Miss Hot Chocolate</t>
        </is>
      </c>
      <c r="D56" s="6" t="n">
        <v>6</v>
      </c>
      <c r="E56" s="6" t="n">
        <v>8</v>
      </c>
      <c r="F56" s="6" t="n">
        <v>0</v>
      </c>
      <c r="G56" s="7" t="inlineStr">
        <is>
          <t>scouts only</t>
        </is>
      </c>
    </row>
    <row r="57">
      <c r="A57" s="11" t="inlineStr">
        <is>
          <t>☐</t>
        </is>
      </c>
      <c r="B57" s="10" t="inlineStr">
        <is>
          <t>DESSERT</t>
        </is>
      </c>
      <c r="C57" s="10" t="inlineStr">
        <is>
          <t>Backpacker's Pantry Crème Brûlée</t>
        </is>
      </c>
      <c r="D57" s="9" t="n">
        <v>2</v>
      </c>
      <c r="E57" s="9" t="n">
        <v>2</v>
      </c>
      <c r="F57" s="9" t="n">
        <v>2</v>
      </c>
      <c r="G57" s="10" t="inlineStr">
        <is>
          <t>hot · buddy-pair shares pouch</t>
        </is>
      </c>
    </row>
    <row r="58">
      <c r="A58" s="12" t="inlineStr">
        <is>
          <t>☐</t>
        </is>
      </c>
      <c r="B58" s="7" t="inlineStr">
        <is>
          <t>DESSERT</t>
        </is>
      </c>
      <c r="C58" s="7" t="inlineStr">
        <is>
          <t>Swiss Miss Hot Chocolate</t>
        </is>
      </c>
      <c r="D58" s="6" t="n">
        <v>6</v>
      </c>
      <c r="E58" s="6" t="n">
        <v>8</v>
      </c>
      <c r="F58" s="6" t="n">
        <v>0</v>
      </c>
      <c r="G58" s="7" t="inlineStr">
        <is>
          <t>scouts only</t>
        </is>
      </c>
    </row>
    <row r="59" ht="24" customHeight="1">
      <c r="A59" s="27" t="inlineStr">
        <is>
          <t>PHASE 2 — MULE DROP (DAYS 4–6) — REFILL CANS IN FIELD</t>
        </is>
      </c>
    </row>
    <row r="60" ht="22" customHeight="1">
      <c r="A60" s="28" t="inlineStr">
        <is>
          <t>TUESDAY  JUL 28 — DAY 4</t>
        </is>
      </c>
    </row>
    <row r="61">
      <c r="A61" s="70" t="inlineStr">
        <is>
          <t>☐</t>
        </is>
      </c>
      <c r="B61" s="32" t="inlineStr">
        <is>
          <t>BREAKFAST</t>
        </is>
      </c>
      <c r="C61" s="32" t="inlineStr">
        <is>
          <t>MET-Rx Big100 – Super Cookie Crunch</t>
        </is>
      </c>
      <c r="D61" s="33" t="n">
        <v>3</v>
      </c>
      <c r="E61" s="33" t="n">
        <v>4</v>
      </c>
      <c r="F61" s="33" t="n">
        <v>3</v>
      </c>
      <c r="G61" s="32" t="inlineStr">
        <is>
          <t>grab &amp; go; ⚠ NUT</t>
        </is>
      </c>
    </row>
    <row r="62">
      <c r="A62" s="12" t="inlineStr">
        <is>
          <t>☐</t>
        </is>
      </c>
      <c r="B62" s="7" t="inlineStr">
        <is>
          <t>BREAKFAST</t>
        </is>
      </c>
      <c r="C62" s="7" t="inlineStr">
        <is>
          <t>Swiss Miss Hot Chocolate</t>
        </is>
      </c>
      <c r="D62" s="6" t="n">
        <v>6</v>
      </c>
      <c r="E62" s="6" t="n">
        <v>8</v>
      </c>
      <c r="F62" s="6" t="n">
        <v>0</v>
      </c>
      <c r="G62" s="7" t="inlineStr">
        <is>
          <t>scouts only</t>
        </is>
      </c>
    </row>
    <row r="63">
      <c r="A63" s="71" t="inlineStr">
        <is>
          <t>☐</t>
        </is>
      </c>
      <c r="B63" s="52" t="inlineStr">
        <is>
          <t>BREAKFAST</t>
        </is>
      </c>
      <c r="C63" s="52" t="inlineStr">
        <is>
          <t>Adults: own coffee / tea</t>
        </is>
      </c>
      <c r="D63" s="53" t="n">
        <v>0</v>
      </c>
      <c r="E63" s="53" t="n">
        <v>0</v>
      </c>
      <c r="F63" s="53" t="n">
        <v>3</v>
      </c>
      <c r="G63" s="52" t="inlineStr">
        <is>
          <t>adults only ★</t>
        </is>
      </c>
    </row>
    <row r="64">
      <c r="A64" s="12" t="inlineStr">
        <is>
          <t>☐</t>
        </is>
      </c>
      <c r="B64" s="7" t="inlineStr">
        <is>
          <t>SNACKS</t>
        </is>
      </c>
      <c r="C64" s="7" t="inlineStr">
        <is>
          <t>Krave Sea Salt Original Beef Jerky</t>
        </is>
      </c>
      <c r="D64" s="6" t="n">
        <v>3</v>
      </c>
      <c r="E64" s="6" t="n">
        <v>4</v>
      </c>
      <c r="F64" s="6" t="n">
        <v>3</v>
      </c>
      <c r="G64" s="7" t="inlineStr">
        <is>
          <t>hip-belt pocket; nut-free</t>
        </is>
      </c>
    </row>
    <row r="65">
      <c r="A65" s="70" t="inlineStr">
        <is>
          <t>☐</t>
        </is>
      </c>
      <c r="B65" s="32" t="inlineStr">
        <is>
          <t>SNACKS</t>
        </is>
      </c>
      <c r="C65" s="32" t="inlineStr">
        <is>
          <t>Kind – Dark Choc Nuts &amp; Sea Salt Bar</t>
        </is>
      </c>
      <c r="D65" s="33" t="n">
        <v>3</v>
      </c>
      <c r="E65" s="33" t="n">
        <v>4</v>
      </c>
      <c r="F65" s="33" t="n">
        <v>3</v>
      </c>
      <c r="G65" s="32" t="inlineStr">
        <is>
          <t>hip-belt pocket; ⚠ NUT</t>
        </is>
      </c>
    </row>
    <row r="66">
      <c r="A66" s="12" t="inlineStr">
        <is>
          <t>☐</t>
        </is>
      </c>
      <c r="B66" s="7" t="inlineStr">
        <is>
          <t>SNACKS</t>
        </is>
      </c>
      <c r="C66" s="7" t="inlineStr">
        <is>
          <t>Gatorade Powder Pack</t>
        </is>
      </c>
      <c r="D66" s="6" t="n">
        <v>6</v>
      </c>
      <c r="E66" s="6" t="n">
        <v>8</v>
      </c>
      <c r="F66" s="6" t="n">
        <v>6</v>
      </c>
      <c r="G66" s="7" t="inlineStr">
        <is>
          <t>×2/person; climb day</t>
        </is>
      </c>
    </row>
    <row r="67">
      <c r="A67" s="11" t="inlineStr">
        <is>
          <t>☐</t>
        </is>
      </c>
      <c r="B67" s="10" t="inlineStr">
        <is>
          <t>SNACKS</t>
        </is>
      </c>
      <c r="C67" s="10" t="inlineStr">
        <is>
          <t>Banana Chips (1 oz)</t>
        </is>
      </c>
      <c r="D67" s="9" t="n">
        <v>3</v>
      </c>
      <c r="E67" s="9" t="n">
        <v>4</v>
      </c>
      <c r="F67" s="9" t="n">
        <v>3</v>
      </c>
      <c r="G67" s="10" t="inlineStr">
        <is>
          <t>nut-free</t>
        </is>
      </c>
    </row>
    <row r="68">
      <c r="A68" s="70" t="inlineStr">
        <is>
          <t>☐</t>
        </is>
      </c>
      <c r="B68" s="32" t="inlineStr">
        <is>
          <t>LUNCH</t>
        </is>
      </c>
      <c r="C68" s="32" t="inlineStr">
        <is>
          <t>ProBar Meal – Oatmeal Chocolate Chip</t>
        </is>
      </c>
      <c r="D68" s="33" t="n">
        <v>3</v>
      </c>
      <c r="E68" s="33" t="n">
        <v>4</v>
      </c>
      <c r="F68" s="33" t="n">
        <v>3</v>
      </c>
      <c r="G68" s="32" t="inlineStr">
        <is>
          <t>no cook; ⚠ NUT</t>
        </is>
      </c>
    </row>
    <row r="69">
      <c r="A69" s="11" t="inlineStr">
        <is>
          <t>☐</t>
        </is>
      </c>
      <c r="B69" s="10" t="inlineStr">
        <is>
          <t>DINNER</t>
        </is>
      </c>
      <c r="C69" s="10" t="inlineStr">
        <is>
          <t>Peak Refuel – Beef Stroganoff</t>
        </is>
      </c>
      <c r="D69" s="9" t="n">
        <v>2</v>
      </c>
      <c r="E69" s="9" t="n">
        <v>3</v>
      </c>
      <c r="F69" s="9" t="n">
        <v>3</v>
      </c>
      <c r="G69" s="10" t="inlineStr">
        <is>
          <t>hot · 1.5 svgs/pouch</t>
        </is>
      </c>
    </row>
    <row r="70">
      <c r="A70" s="12" t="inlineStr">
        <is>
          <t>☐</t>
        </is>
      </c>
      <c r="B70" s="7" t="inlineStr">
        <is>
          <t>DINNER</t>
        </is>
      </c>
      <c r="C70" s="7" t="inlineStr">
        <is>
          <t>Flour Tortillas</t>
        </is>
      </c>
      <c r="D70" s="6" t="n">
        <v>6</v>
      </c>
      <c r="E70" s="6" t="n">
        <v>8</v>
      </c>
      <c r="F70" s="6" t="n">
        <v>6</v>
      </c>
      <c r="G70" s="7" t="inlineStr">
        <is>
          <t>dinner wraps</t>
        </is>
      </c>
    </row>
    <row r="71">
      <c r="A71" s="11" t="inlineStr">
        <is>
          <t>☐</t>
        </is>
      </c>
      <c r="B71" s="10" t="inlineStr">
        <is>
          <t>DINNER</t>
        </is>
      </c>
      <c r="C71" s="10" t="inlineStr">
        <is>
          <t>Idahoan Mashed Potatoes</t>
        </is>
      </c>
      <c r="D71" s="9" t="n">
        <v>3</v>
      </c>
      <c r="E71" s="9" t="n">
        <v>4</v>
      </c>
      <c r="F71" s="9" t="n">
        <v>3</v>
      </c>
      <c r="G71" s="10" t="inlineStr">
        <is>
          <t>dinner side</t>
        </is>
      </c>
    </row>
    <row r="72">
      <c r="A72" s="12" t="inlineStr">
        <is>
          <t>☐</t>
        </is>
      </c>
      <c r="B72" s="7" t="inlineStr">
        <is>
          <t>DINNER</t>
        </is>
      </c>
      <c r="C72" s="7" t="inlineStr">
        <is>
          <t>Swiss Miss Hot Chocolate</t>
        </is>
      </c>
      <c r="D72" s="6" t="n">
        <v>6</v>
      </c>
      <c r="E72" s="6" t="n">
        <v>8</v>
      </c>
      <c r="F72" s="6" t="n">
        <v>0</v>
      </c>
      <c r="G72" s="7" t="inlineStr">
        <is>
          <t>scouts only</t>
        </is>
      </c>
    </row>
    <row r="73">
      <c r="A73" s="70" t="inlineStr">
        <is>
          <t>☐</t>
        </is>
      </c>
      <c r="B73" s="32" t="inlineStr">
        <is>
          <t>DESSERT</t>
        </is>
      </c>
      <c r="C73" s="32" t="inlineStr">
        <is>
          <t>Justin's Dark Choc PB Cups</t>
        </is>
      </c>
      <c r="D73" s="33" t="n">
        <v>3</v>
      </c>
      <c r="E73" s="33" t="n">
        <v>4</v>
      </c>
      <c r="F73" s="33" t="n">
        <v>3</v>
      </c>
      <c r="G73" s="32" t="inlineStr">
        <is>
          <t>1 packet/person; ⚠ NUT</t>
        </is>
      </c>
    </row>
    <row r="74">
      <c r="A74" s="12" t="inlineStr">
        <is>
          <t>☐</t>
        </is>
      </c>
      <c r="B74" s="7" t="inlineStr">
        <is>
          <t>DESSERT</t>
        </is>
      </c>
      <c r="C74" s="7" t="inlineStr">
        <is>
          <t>Swiss Miss Hot Chocolate</t>
        </is>
      </c>
      <c r="D74" s="6" t="n">
        <v>6</v>
      </c>
      <c r="E74" s="6" t="n">
        <v>8</v>
      </c>
      <c r="F74" s="6" t="n">
        <v>0</v>
      </c>
      <c r="G74" s="7" t="inlineStr">
        <is>
          <t>scouts only</t>
        </is>
      </c>
    </row>
    <row r="75" ht="22" customHeight="1">
      <c r="A75" s="28" t="inlineStr">
        <is>
          <t>WEDNESDAY  JUL 29 — DAY 5</t>
        </is>
      </c>
    </row>
    <row r="76">
      <c r="A76" s="70" t="inlineStr">
        <is>
          <t>☐</t>
        </is>
      </c>
      <c r="B76" s="32" t="inlineStr">
        <is>
          <t>BREAKFAST</t>
        </is>
      </c>
      <c r="C76" s="32" t="inlineStr">
        <is>
          <t>ProBar Meal – Oatmeal Chocolate Chip</t>
        </is>
      </c>
      <c r="D76" s="33" t="n">
        <v>3</v>
      </c>
      <c r="E76" s="33" t="n">
        <v>4</v>
      </c>
      <c r="F76" s="33" t="n">
        <v>3</v>
      </c>
      <c r="G76" s="32" t="inlineStr">
        <is>
          <t>grab &amp; go; ⚠ NUT (cashews)</t>
        </is>
      </c>
    </row>
    <row r="77">
      <c r="A77" s="11" t="inlineStr">
        <is>
          <t>☐</t>
        </is>
      </c>
      <c r="B77" s="10" t="inlineStr">
        <is>
          <t>BREAKFAST</t>
        </is>
      </c>
      <c r="C77" s="10" t="inlineStr">
        <is>
          <t>Swiss Miss Hot Chocolate</t>
        </is>
      </c>
      <c r="D77" s="9" t="n">
        <v>6</v>
      </c>
      <c r="E77" s="9" t="n">
        <v>8</v>
      </c>
      <c r="F77" s="9" t="n">
        <v>0</v>
      </c>
      <c r="G77" s="10" t="inlineStr">
        <is>
          <t>scouts only</t>
        </is>
      </c>
    </row>
    <row r="78">
      <c r="A78" s="71" t="inlineStr">
        <is>
          <t>☐</t>
        </is>
      </c>
      <c r="B78" s="52" t="inlineStr">
        <is>
          <t>BREAKFAST</t>
        </is>
      </c>
      <c r="C78" s="52" t="inlineStr">
        <is>
          <t>Adults: own coffee / tea</t>
        </is>
      </c>
      <c r="D78" s="53" t="n">
        <v>0</v>
      </c>
      <c r="E78" s="53" t="n">
        <v>0</v>
      </c>
      <c r="F78" s="53" t="n">
        <v>3</v>
      </c>
      <c r="G78" s="52" t="inlineStr">
        <is>
          <t>adults only ★</t>
        </is>
      </c>
    </row>
    <row r="79">
      <c r="A79" s="70" t="inlineStr">
        <is>
          <t>☐</t>
        </is>
      </c>
      <c r="B79" s="32" t="inlineStr">
        <is>
          <t>SNACKS</t>
        </is>
      </c>
      <c r="C79" s="32" t="inlineStr">
        <is>
          <t>Kind – Peanut Butter Dark Chocolate Bar</t>
        </is>
      </c>
      <c r="D79" s="33" t="n">
        <v>3</v>
      </c>
      <c r="E79" s="33" t="n">
        <v>4</v>
      </c>
      <c r="F79" s="33" t="n">
        <v>3</v>
      </c>
      <c r="G79" s="32" t="inlineStr">
        <is>
          <t>hip-belt pocket; ⚠ NUT</t>
        </is>
      </c>
    </row>
    <row r="80">
      <c r="A80" s="70" t="inlineStr">
        <is>
          <t>☐</t>
        </is>
      </c>
      <c r="B80" s="32" t="inlineStr">
        <is>
          <t>SNACKS</t>
        </is>
      </c>
      <c r="C80" s="32" t="inlineStr">
        <is>
          <t>Kind – Caramel Almond &amp; Peanut Bar</t>
        </is>
      </c>
      <c r="D80" s="33" t="n">
        <v>3</v>
      </c>
      <c r="E80" s="33" t="n">
        <v>4</v>
      </c>
      <c r="F80" s="33" t="n">
        <v>3</v>
      </c>
      <c r="G80" s="32" t="inlineStr">
        <is>
          <t>hip-belt pocket; ⚠ NUT</t>
        </is>
      </c>
    </row>
    <row r="81">
      <c r="A81" s="11" t="inlineStr">
        <is>
          <t>☐</t>
        </is>
      </c>
      <c r="B81" s="10" t="inlineStr">
        <is>
          <t>SNACKS</t>
        </is>
      </c>
      <c r="C81" s="10" t="inlineStr">
        <is>
          <t>Krave Sea Salt Original Beef Jerky</t>
        </is>
      </c>
      <c r="D81" s="9" t="n">
        <v>3</v>
      </c>
      <c r="E81" s="9" t="n">
        <v>4</v>
      </c>
      <c r="F81" s="9" t="n">
        <v>3</v>
      </c>
      <c r="G81" s="10" t="inlineStr">
        <is>
          <t>hip-belt pocket; nut-free</t>
        </is>
      </c>
    </row>
    <row r="82">
      <c r="A82" s="12" t="inlineStr">
        <is>
          <t>☐</t>
        </is>
      </c>
      <c r="B82" s="7" t="inlineStr">
        <is>
          <t>SNACKS</t>
        </is>
      </c>
      <c r="C82" s="7" t="inlineStr">
        <is>
          <t>Gatorade Powder Pack</t>
        </is>
      </c>
      <c r="D82" s="6" t="n">
        <v>3</v>
      </c>
      <c r="E82" s="6" t="n">
        <v>4</v>
      </c>
      <c r="F82" s="6" t="n">
        <v>3</v>
      </c>
      <c r="G82" s="7" t="inlineStr">
        <is>
          <t>hip-belt pocket; electrolytes</t>
        </is>
      </c>
    </row>
    <row r="83">
      <c r="A83" s="11" t="inlineStr">
        <is>
          <t>☐</t>
        </is>
      </c>
      <c r="B83" s="10" t="inlineStr">
        <is>
          <t>SNACKS</t>
        </is>
      </c>
      <c r="C83" s="10" t="inlineStr">
        <is>
          <t>Trader Joe's Dried Mango Slices (1 oz)</t>
        </is>
      </c>
      <c r="D83" s="9" t="n">
        <v>3</v>
      </c>
      <c r="E83" s="9" t="n">
        <v>4</v>
      </c>
      <c r="F83" s="9" t="n">
        <v>3</v>
      </c>
      <c r="G83" s="10" t="inlineStr">
        <is>
          <t>hip-belt pocket; nut-free</t>
        </is>
      </c>
    </row>
    <row r="84">
      <c r="A84" s="12" t="inlineStr">
        <is>
          <t>☐</t>
        </is>
      </c>
      <c r="B84" s="7" t="inlineStr">
        <is>
          <t>LUNCH</t>
        </is>
      </c>
      <c r="C84" s="7" t="inlineStr">
        <is>
          <t>Chicken of the Sea Shredded Chicken Pouch</t>
        </is>
      </c>
      <c r="D84" s="6" t="n">
        <v>3</v>
      </c>
      <c r="E84" s="6" t="n">
        <v>4</v>
      </c>
      <c r="F84" s="6" t="n">
        <v>3</v>
      </c>
      <c r="G84" s="7" t="inlineStr">
        <is>
          <t>no cook; nut-free</t>
        </is>
      </c>
    </row>
    <row r="85">
      <c r="A85" s="11" t="inlineStr">
        <is>
          <t>☐</t>
        </is>
      </c>
      <c r="B85" s="10" t="inlineStr">
        <is>
          <t>LUNCH</t>
        </is>
      </c>
      <c r="C85" s="10" t="inlineStr">
        <is>
          <t>Flour Tortillas</t>
        </is>
      </c>
      <c r="D85" s="9" t="n">
        <v>6</v>
      </c>
      <c r="E85" s="9" t="n">
        <v>8</v>
      </c>
      <c r="F85" s="9" t="n">
        <v>6</v>
      </c>
      <c r="G85" s="10" t="inlineStr">
        <is>
          <t>lunch wraps</t>
        </is>
      </c>
    </row>
    <row r="86">
      <c r="A86" s="12" t="inlineStr">
        <is>
          <t>☐</t>
        </is>
      </c>
      <c r="B86" s="7" t="inlineStr">
        <is>
          <t>LUNCH</t>
        </is>
      </c>
      <c r="C86" s="7" t="inlineStr">
        <is>
          <t>Tillamook Cheddar Cheese Packets</t>
        </is>
      </c>
      <c r="D86" s="6" t="n">
        <v>3</v>
      </c>
      <c r="E86" s="6" t="n">
        <v>4</v>
      </c>
      <c r="F86" s="6" t="n">
        <v>3</v>
      </c>
      <c r="G86" s="7" t="inlineStr">
        <is>
          <t>lunch side</t>
        </is>
      </c>
    </row>
    <row r="87">
      <c r="A87" s="70" t="inlineStr">
        <is>
          <t>☐</t>
        </is>
      </c>
      <c r="B87" s="32" t="inlineStr">
        <is>
          <t>LUNCH</t>
        </is>
      </c>
      <c r="C87" s="32" t="inlineStr">
        <is>
          <t>Clif Bar – Crunchy PB</t>
        </is>
      </c>
      <c r="D87" s="33" t="n">
        <v>3</v>
      </c>
      <c r="E87" s="33" t="n">
        <v>4</v>
      </c>
      <c r="F87" s="33" t="n">
        <v>3</v>
      </c>
      <c r="G87" s="32" t="inlineStr">
        <is>
          <t>lunch snack; ⚠ NUT</t>
        </is>
      </c>
    </row>
    <row r="88">
      <c r="A88" s="70" t="inlineStr">
        <is>
          <t>☐</t>
        </is>
      </c>
      <c r="B88" s="32" t="inlineStr">
        <is>
          <t>LUNCH</t>
        </is>
      </c>
      <c r="C88" s="32" t="inlineStr">
        <is>
          <t>Justin's Classic PB Squeeze Pack</t>
        </is>
      </c>
      <c r="D88" s="33" t="n">
        <v>3</v>
      </c>
      <c r="E88" s="33" t="n">
        <v>4</v>
      </c>
      <c r="F88" s="33" t="n">
        <v>3</v>
      </c>
      <c r="G88" s="32" t="inlineStr">
        <is>
          <t>lunch side; ⚠ NUT</t>
        </is>
      </c>
    </row>
    <row r="89">
      <c r="A89" s="70" t="inlineStr">
        <is>
          <t>☐</t>
        </is>
      </c>
      <c r="B89" s="32" t="inlineStr">
        <is>
          <t>SUPPLEMENT</t>
        </is>
      </c>
      <c r="C89" s="32" t="inlineStr">
        <is>
          <t>Clif Builder's Bar (adult supplement)</t>
        </is>
      </c>
      <c r="D89" s="33" t="n">
        <v>0</v>
      </c>
      <c r="E89" s="33" t="n">
        <v>0</v>
      </c>
      <c r="F89" s="33" t="n">
        <v>3</v>
      </c>
      <c r="G89" s="32" t="inlineStr">
        <is>
          <t>pre-dinner; adults only ★; ⚠ NUT</t>
        </is>
      </c>
    </row>
    <row r="90">
      <c r="A90" s="70" t="inlineStr">
        <is>
          <t>☐</t>
        </is>
      </c>
      <c r="B90" s="32" t="inlineStr">
        <is>
          <t>SUPPLEMENT</t>
        </is>
      </c>
      <c r="C90" s="32" t="inlineStr">
        <is>
          <t>Justin's PB Squeeze (adult supplement)</t>
        </is>
      </c>
      <c r="D90" s="33" t="n">
        <v>0</v>
      </c>
      <c r="E90" s="33" t="n">
        <v>0</v>
      </c>
      <c r="F90" s="33" t="n">
        <v>3</v>
      </c>
      <c r="G90" s="32" t="inlineStr">
        <is>
          <t>any time; adults only ★; ⚠ NUT</t>
        </is>
      </c>
    </row>
    <row r="91">
      <c r="A91" s="11" t="inlineStr">
        <is>
          <t>☐</t>
        </is>
      </c>
      <c r="B91" s="10" t="inlineStr">
        <is>
          <t>DINNER</t>
        </is>
      </c>
      <c r="C91" s="10" t="inlineStr">
        <is>
          <t>Peak Refuel – Beef Pasta Marinara</t>
        </is>
      </c>
      <c r="D91" s="9" t="n">
        <v>2</v>
      </c>
      <c r="E91" s="9" t="n">
        <v>3</v>
      </c>
      <c r="F91" s="9" t="n">
        <v>3</v>
      </c>
      <c r="G91" s="10" t="inlineStr">
        <is>
          <t>hot · 1.5 svgs/pouch</t>
        </is>
      </c>
    </row>
    <row r="92">
      <c r="A92" s="12" t="inlineStr">
        <is>
          <t>☐</t>
        </is>
      </c>
      <c r="B92" s="7" t="inlineStr">
        <is>
          <t>DINNER</t>
        </is>
      </c>
      <c r="C92" s="7" t="inlineStr">
        <is>
          <t>Flour Tortillas</t>
        </is>
      </c>
      <c r="D92" s="6" t="n">
        <v>6</v>
      </c>
      <c r="E92" s="6" t="n">
        <v>8</v>
      </c>
      <c r="F92" s="6" t="n">
        <v>6</v>
      </c>
      <c r="G92" s="7" t="inlineStr">
        <is>
          <t>dinner wraps + side</t>
        </is>
      </c>
    </row>
    <row r="93">
      <c r="A93" s="11" t="inlineStr">
        <is>
          <t>☐</t>
        </is>
      </c>
      <c r="B93" s="10" t="inlineStr">
        <is>
          <t>DINNER</t>
        </is>
      </c>
      <c r="C93" s="10" t="inlineStr">
        <is>
          <t>Tillamook Cheddar Cheese Packets</t>
        </is>
      </c>
      <c r="D93" s="9" t="n">
        <v>6</v>
      </c>
      <c r="E93" s="9" t="n">
        <v>8</v>
      </c>
      <c r="F93" s="9" t="n">
        <v>6</v>
      </c>
      <c r="G93" s="10" t="inlineStr">
        <is>
          <t>dinner side</t>
        </is>
      </c>
    </row>
    <row r="94">
      <c r="A94" s="12" t="inlineStr">
        <is>
          <t>☐</t>
        </is>
      </c>
      <c r="B94" s="7" t="inlineStr">
        <is>
          <t>DINNER</t>
        </is>
      </c>
      <c r="C94" s="7" t="inlineStr">
        <is>
          <t>Swiss Miss Hot Chocolate</t>
        </is>
      </c>
      <c r="D94" s="6" t="n">
        <v>6</v>
      </c>
      <c r="E94" s="6" t="n">
        <v>8</v>
      </c>
      <c r="F94" s="6" t="n">
        <v>0</v>
      </c>
      <c r="G94" s="7" t="inlineStr">
        <is>
          <t>scouts only</t>
        </is>
      </c>
    </row>
    <row r="95">
      <c r="A95" s="11" t="inlineStr">
        <is>
          <t>☐</t>
        </is>
      </c>
      <c r="B95" s="10" t="inlineStr">
        <is>
          <t>DESSERT</t>
        </is>
      </c>
      <c r="C95" s="10" t="inlineStr">
        <is>
          <t>Backpacker's Pantry Crème Brûlée</t>
        </is>
      </c>
      <c r="D95" s="9" t="n">
        <v>2</v>
      </c>
      <c r="E95" s="9" t="n">
        <v>2</v>
      </c>
      <c r="F95" s="9" t="n">
        <v>2</v>
      </c>
      <c r="G95" s="10" t="inlineStr">
        <is>
          <t>hot · buddy-pair shares pouch</t>
        </is>
      </c>
    </row>
    <row r="96">
      <c r="A96" s="12" t="inlineStr">
        <is>
          <t>☐</t>
        </is>
      </c>
      <c r="B96" s="7" t="inlineStr">
        <is>
          <t>DESSERT</t>
        </is>
      </c>
      <c r="C96" s="7" t="inlineStr">
        <is>
          <t>Swiss Miss Hot Chocolate</t>
        </is>
      </c>
      <c r="D96" s="6" t="n">
        <v>6</v>
      </c>
      <c r="E96" s="6" t="n">
        <v>8</v>
      </c>
      <c r="F96" s="6" t="n">
        <v>0</v>
      </c>
      <c r="G96" s="7" t="inlineStr">
        <is>
          <t>scouts only</t>
        </is>
      </c>
    </row>
    <row r="97" ht="22" customHeight="1">
      <c r="A97" s="28" t="inlineStr">
        <is>
          <t>THURSDAY  JUL 30 — DAY 6</t>
        </is>
      </c>
    </row>
    <row r="98">
      <c r="A98" s="70" t="inlineStr">
        <is>
          <t>☐</t>
        </is>
      </c>
      <c r="B98" s="32" t="inlineStr">
        <is>
          <t>BREAKFAST</t>
        </is>
      </c>
      <c r="C98" s="32" t="inlineStr">
        <is>
          <t>MET-Rx Big100 – Super Cookie Crunch</t>
        </is>
      </c>
      <c r="D98" s="33" t="n">
        <v>3</v>
      </c>
      <c r="E98" s="33" t="n">
        <v>4</v>
      </c>
      <c r="F98" s="33" t="n">
        <v>3</v>
      </c>
      <c r="G98" s="32" t="inlineStr">
        <is>
          <t>grab &amp; go; ⚠ NUT</t>
        </is>
      </c>
    </row>
    <row r="99">
      <c r="A99" s="11" t="inlineStr">
        <is>
          <t>☐</t>
        </is>
      </c>
      <c r="B99" s="10" t="inlineStr">
        <is>
          <t>BREAKFAST</t>
        </is>
      </c>
      <c r="C99" s="10" t="inlineStr">
        <is>
          <t>Swiss Miss Hot Chocolate</t>
        </is>
      </c>
      <c r="D99" s="9" t="n">
        <v>6</v>
      </c>
      <c r="E99" s="9" t="n">
        <v>8</v>
      </c>
      <c r="F99" s="9" t="n">
        <v>0</v>
      </c>
      <c r="G99" s="10" t="inlineStr">
        <is>
          <t>scouts only</t>
        </is>
      </c>
    </row>
    <row r="100">
      <c r="A100" s="71" t="inlineStr">
        <is>
          <t>☐</t>
        </is>
      </c>
      <c r="B100" s="52" t="inlineStr">
        <is>
          <t>BREAKFAST</t>
        </is>
      </c>
      <c r="C100" s="52" t="inlineStr">
        <is>
          <t>Adults: own coffee / tea</t>
        </is>
      </c>
      <c r="D100" s="53" t="n">
        <v>0</v>
      </c>
      <c r="E100" s="53" t="n">
        <v>0</v>
      </c>
      <c r="F100" s="53" t="n">
        <v>3</v>
      </c>
      <c r="G100" s="52" t="inlineStr">
        <is>
          <t>adults only ★</t>
        </is>
      </c>
    </row>
    <row r="101">
      <c r="A101" s="11" t="inlineStr">
        <is>
          <t>☐</t>
        </is>
      </c>
      <c r="B101" s="10" t="inlineStr">
        <is>
          <t>SNACKS</t>
        </is>
      </c>
      <c r="C101" s="10" t="inlineStr">
        <is>
          <t>Krave Sea Salt Original Beef Jerky</t>
        </is>
      </c>
      <c r="D101" s="9" t="n">
        <v>3</v>
      </c>
      <c r="E101" s="9" t="n">
        <v>4</v>
      </c>
      <c r="F101" s="9" t="n">
        <v>3</v>
      </c>
      <c r="G101" s="10" t="inlineStr">
        <is>
          <t>hip-belt pocket; nut-free</t>
        </is>
      </c>
    </row>
    <row r="102">
      <c r="A102" s="70" t="inlineStr">
        <is>
          <t>☐</t>
        </is>
      </c>
      <c r="B102" s="32" t="inlineStr">
        <is>
          <t>SNACKS</t>
        </is>
      </c>
      <c r="C102" s="32" t="inlineStr">
        <is>
          <t>Clif Bar – Crunchy PB</t>
        </is>
      </c>
      <c r="D102" s="33" t="n">
        <v>3</v>
      </c>
      <c r="E102" s="33" t="n">
        <v>4</v>
      </c>
      <c r="F102" s="33" t="n">
        <v>3</v>
      </c>
      <c r="G102" s="32" t="inlineStr">
        <is>
          <t>hip-belt pocket; ⚠ NUT</t>
        </is>
      </c>
    </row>
    <row r="103">
      <c r="A103" s="11" t="inlineStr">
        <is>
          <t>☐</t>
        </is>
      </c>
      <c r="B103" s="10" t="inlineStr">
        <is>
          <t>SNACKS</t>
        </is>
      </c>
      <c r="C103" s="10" t="inlineStr">
        <is>
          <t>Gatorade Powder Pack</t>
        </is>
      </c>
      <c r="D103" s="9" t="n">
        <v>3</v>
      </c>
      <c r="E103" s="9" t="n">
        <v>4</v>
      </c>
      <c r="F103" s="9" t="n">
        <v>3</v>
      </c>
      <c r="G103" s="10" t="inlineStr">
        <is>
          <t>hip-belt pocket; electrolytes</t>
        </is>
      </c>
    </row>
    <row r="104">
      <c r="A104" s="12" t="inlineStr">
        <is>
          <t>☐</t>
        </is>
      </c>
      <c r="B104" s="7" t="inlineStr">
        <is>
          <t>SNACKS</t>
        </is>
      </c>
      <c r="C104" s="7" t="inlineStr">
        <is>
          <t>Peak Refuel – Fudge Brownie Bites</t>
        </is>
      </c>
      <c r="D104" s="6" t="n">
        <v>2</v>
      </c>
      <c r="E104" s="6" t="n">
        <v>2</v>
      </c>
      <c r="F104" s="6" t="n">
        <v>2</v>
      </c>
      <c r="G104" s="7" t="inlineStr">
        <is>
          <t>morale afternoon snack; nut-free</t>
        </is>
      </c>
    </row>
    <row r="105">
      <c r="A105" s="11" t="inlineStr">
        <is>
          <t>☐</t>
        </is>
      </c>
      <c r="B105" s="10" t="inlineStr">
        <is>
          <t>LUNCH</t>
        </is>
      </c>
      <c r="C105" s="10" t="inlineStr">
        <is>
          <t>Columbus Hard Salami (packet)</t>
        </is>
      </c>
      <c r="D105" s="9" t="n">
        <v>3</v>
      </c>
      <c r="E105" s="9" t="n">
        <v>4</v>
      </c>
      <c r="F105" s="9" t="n">
        <v>3</v>
      </c>
      <c r="G105" s="10" t="inlineStr">
        <is>
          <t>no cook; nut-free</t>
        </is>
      </c>
    </row>
    <row r="106">
      <c r="A106" s="12" t="inlineStr">
        <is>
          <t>☐</t>
        </is>
      </c>
      <c r="B106" s="7" t="inlineStr">
        <is>
          <t>LUNCH</t>
        </is>
      </c>
      <c r="C106" s="7" t="inlineStr">
        <is>
          <t>Wasa Crispbread</t>
        </is>
      </c>
      <c r="D106" s="6" t="n">
        <v>3</v>
      </c>
      <c r="E106" s="6" t="n">
        <v>4</v>
      </c>
      <c r="F106" s="6" t="n">
        <v>3</v>
      </c>
      <c r="G106" s="7" t="inlineStr">
        <is>
          <t>no cook; nut-free</t>
        </is>
      </c>
    </row>
    <row r="107">
      <c r="A107" s="11" t="inlineStr">
        <is>
          <t>☐</t>
        </is>
      </c>
      <c r="B107" s="10" t="inlineStr">
        <is>
          <t>LUNCH</t>
        </is>
      </c>
      <c r="C107" s="10" t="inlineStr">
        <is>
          <t>Flour Tortillas</t>
        </is>
      </c>
      <c r="D107" s="9" t="n">
        <v>6</v>
      </c>
      <c r="E107" s="9" t="n">
        <v>8</v>
      </c>
      <c r="F107" s="9" t="n">
        <v>6</v>
      </c>
      <c r="G107" s="10" t="inlineStr">
        <is>
          <t>lunch wraps</t>
        </is>
      </c>
    </row>
    <row r="108">
      <c r="A108" s="12" t="inlineStr">
        <is>
          <t>☐</t>
        </is>
      </c>
      <c r="B108" s="7" t="inlineStr">
        <is>
          <t>LUNCH</t>
        </is>
      </c>
      <c r="C108" s="7" t="inlineStr">
        <is>
          <t>Tillamook Cheddar Cheese Packets</t>
        </is>
      </c>
      <c r="D108" s="6" t="n">
        <v>3</v>
      </c>
      <c r="E108" s="6" t="n">
        <v>4</v>
      </c>
      <c r="F108" s="6" t="n">
        <v>3</v>
      </c>
      <c r="G108" s="7" t="inlineStr">
        <is>
          <t>lunch side</t>
        </is>
      </c>
    </row>
    <row r="109">
      <c r="A109" s="70" t="inlineStr">
        <is>
          <t>☐</t>
        </is>
      </c>
      <c r="B109" s="32" t="inlineStr">
        <is>
          <t>LUNCH</t>
        </is>
      </c>
      <c r="C109" s="32" t="inlineStr">
        <is>
          <t>Justin's Classic PB Squeeze Pack</t>
        </is>
      </c>
      <c r="D109" s="33" t="n">
        <v>3</v>
      </c>
      <c r="E109" s="33" t="n">
        <v>4</v>
      </c>
      <c r="F109" s="33" t="n">
        <v>3</v>
      </c>
      <c r="G109" s="32" t="inlineStr">
        <is>
          <t>lunch side; ⚠ NUT</t>
        </is>
      </c>
    </row>
  </sheetData>
  <mergeCells count="8">
    <mergeCell ref="A97:G97"/>
    <mergeCell ref="A40:G40"/>
    <mergeCell ref="A6:G6"/>
    <mergeCell ref="A59:G59"/>
    <mergeCell ref="A60:G60"/>
    <mergeCell ref="A19:G19"/>
    <mergeCell ref="A5:G5"/>
    <mergeCell ref="A75:G7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1" workbookViewId="0">
      <selection activeCell="A1" sqref="A1"/>
    </sheetView>
  </sheetViews>
  <sheetFormatPr baseColWidth="8" defaultRowHeight="15"/>
  <cols>
    <col width="160" customWidth="1" min="1" max="1"/>
    <col width="12" customWidth="1" min="2" max="2"/>
    <col width="39" customWidth="1" min="3" max="3"/>
    <col width="36" customWidth="1" min="4" max="4"/>
    <col width="47" customWidth="1" min="5" max="5"/>
    <col width="49" customWidth="1" min="6" max="6"/>
    <col width="10" customWidth="1" min="7" max="7"/>
    <col width="27" customWidth="1" min="8" max="8"/>
  </cols>
  <sheetData>
    <row r="1">
      <c r="A1" s="1" t="inlineStr">
        <is>
          <t>Nut Allergy Accommodation — Individual Scout Carry Pack (6 Days)</t>
        </is>
      </c>
    </row>
    <row r="2">
      <c r="A2" s="2" t="inlineStr">
        <is>
          <t>Pre-pack all items in a labelled zip-lock or dry bag for this scout. They carry it personally and swap at each nut-item moment. Main canisters are UNCHANGED.</t>
        </is>
      </c>
    </row>
    <row r="3"/>
    <row r="4" ht="24" customHeight="1">
      <c r="A4" s="4" t="inlineStr">
        <is>
          <t>Day</t>
        </is>
      </c>
      <c r="B4" s="4" t="inlineStr">
        <is>
          <t>Meal</t>
        </is>
      </c>
      <c r="C4" s="4" t="inlineStr">
        <is>
          <t>Remove (has nuts)</t>
        </is>
      </c>
      <c r="D4" s="4" t="inlineStr">
        <is>
          <t>Nuts in it</t>
        </is>
      </c>
      <c r="E4" s="4" t="inlineStr">
        <is>
          <t>Replace with</t>
        </is>
      </c>
      <c r="F4" s="4" t="inlineStr">
        <is>
          <t>Why safe</t>
        </is>
      </c>
      <c r="G4" s="4" t="inlineStr">
        <is>
          <t>kcal</t>
        </is>
      </c>
      <c r="H4" s="4" t="inlineStr">
        <is>
          <t>Where to buy</t>
        </is>
      </c>
    </row>
    <row r="5">
      <c r="A5" s="9" t="inlineStr">
        <is>
          <t>Sat Jul 25</t>
        </is>
      </c>
      <c r="B5" s="9" t="inlineStr">
        <is>
          <t>Snacks</t>
        </is>
      </c>
      <c r="C5" s="10" t="inlineStr">
        <is>
          <t>Kind PB Dark Choc Bar</t>
        </is>
      </c>
      <c r="D5" s="10" t="inlineStr">
        <is>
          <t>Peanuts, almonds</t>
        </is>
      </c>
      <c r="E5" s="10" t="inlineStr">
        <is>
          <t>88 Acres Dark Choc Sea Salt Seed + Oat Bar</t>
        </is>
      </c>
      <c r="F5" s="10" t="inlineStr">
        <is>
          <t>Dedicated nut-free bakery. Free from top 9.</t>
        </is>
      </c>
      <c r="G5" s="72" t="n">
        <v>150</v>
      </c>
      <c r="H5" s="10" t="inlineStr">
        <is>
          <t>Amazon / 88acres.com</t>
        </is>
      </c>
    </row>
    <row r="6">
      <c r="A6" s="6" t="inlineStr">
        <is>
          <t>Sat Jul 25</t>
        </is>
      </c>
      <c r="B6" s="6" t="inlineStr">
        <is>
          <t>Snacks</t>
        </is>
      </c>
      <c r="C6" s="7" t="inlineStr">
        <is>
          <t>Kind – Caramel Almond &amp; Peanut Bar</t>
        </is>
      </c>
      <c r="D6" s="7" t="inlineStr">
        <is>
          <t>Almonds, peanuts</t>
        </is>
      </c>
      <c r="E6" s="7" t="inlineStr">
        <is>
          <t>88 Acres Cinnamon Maple Seed + Oat Bar</t>
        </is>
      </c>
      <c r="F6" s="7" t="inlineStr">
        <is>
          <t>Same nut-free facility.</t>
        </is>
      </c>
      <c r="G6" s="73" t="n">
        <v>150</v>
      </c>
      <c r="H6" s="7" t="inlineStr">
        <is>
          <t>Amazon / 88acres.com</t>
        </is>
      </c>
    </row>
    <row r="7">
      <c r="A7" s="9" t="inlineStr">
        <is>
          <t>Sat Jul 25</t>
        </is>
      </c>
      <c r="B7" s="9" t="inlineStr">
        <is>
          <t>Dessert</t>
        </is>
      </c>
      <c r="C7" s="10" t="inlineStr">
        <is>
          <t>BP Crème Brûlée</t>
        </is>
      </c>
      <c r="D7" s="10" t="inlineStr">
        <is>
          <t>Check label - may contain cashews</t>
        </is>
      </c>
      <c r="E7" s="10" t="inlineStr">
        <is>
          <t>Honey Stinger Gold Waffle (contingency)</t>
        </is>
      </c>
      <c r="F7" s="10" t="inlineStr">
        <is>
          <t>Honey Stinger: simple ingredients, no nuts.</t>
        </is>
      </c>
      <c r="G7" s="72" t="n">
        <v>160</v>
      </c>
      <c r="H7" s="10" t="inlineStr">
        <is>
          <t>REI / Amazon</t>
        </is>
      </c>
    </row>
    <row r="8">
      <c r="A8" s="6" t="inlineStr">
        <is>
          <t>Sun Jul 26</t>
        </is>
      </c>
      <c r="B8" s="6" t="inlineStr">
        <is>
          <t>Breakfast</t>
        </is>
      </c>
      <c r="C8" s="7" t="inlineStr">
        <is>
          <t>MET-Rx Big100 Super Cookie Crunch</t>
        </is>
      </c>
      <c r="D8" s="7" t="inlineStr">
        <is>
          <t>Peanuts, almonds, tree nuts</t>
        </is>
      </c>
      <c r="E8" s="7" t="inlineStr">
        <is>
          <t>No Nuts! Chocolate Chip Protein Bar</t>
        </is>
      </c>
      <c r="F8" s="7" t="inlineStr">
        <is>
          <t>Certified 100% nut-free facility. 12g protein.</t>
        </is>
      </c>
      <c r="G8" s="73" t="n">
        <v>185</v>
      </c>
      <c r="H8" s="7" t="inlineStr">
        <is>
          <t>Amazon / gononuts.com</t>
        </is>
      </c>
    </row>
    <row r="9">
      <c r="A9" s="9" t="inlineStr">
        <is>
          <t>Sun Jul 26</t>
        </is>
      </c>
      <c r="B9" s="9" t="inlineStr">
        <is>
          <t>Snacks</t>
        </is>
      </c>
      <c r="C9" s="10" t="inlineStr">
        <is>
          <t>Kind – Dark Choc Nuts &amp; Sea Salt Bar</t>
        </is>
      </c>
      <c r="D9" s="10" t="inlineStr">
        <is>
          <t>Almonds, peanuts, cashews</t>
        </is>
      </c>
      <c r="E9" s="10" t="inlineStr">
        <is>
          <t>88 Acres bar (any flavor)</t>
        </is>
      </c>
      <c r="F9" s="10" t="inlineStr">
        <is>
          <t>Same nut-free facility.</t>
        </is>
      </c>
      <c r="G9" s="72" t="n">
        <v>150</v>
      </c>
      <c r="H9" s="10" t="inlineStr">
        <is>
          <t>Amazon / 88acres.com</t>
        </is>
      </c>
    </row>
    <row r="10">
      <c r="A10" s="6" t="inlineStr">
        <is>
          <t>Sun Jul 26</t>
        </is>
      </c>
      <c r="B10" s="6" t="inlineStr">
        <is>
          <t>Lunch</t>
        </is>
      </c>
      <c r="C10" s="7" t="inlineStr">
        <is>
          <t>Clif Bar – Crunchy PB</t>
        </is>
      </c>
      <c r="D10" s="7" t="inlineStr">
        <is>
          <t>Peanuts</t>
        </is>
      </c>
      <c r="E10" s="7" t="inlineStr">
        <is>
          <t>Clif Bar – Chocolate Chip</t>
        </is>
      </c>
      <c r="F10" s="7" t="inlineStr">
        <is>
          <t>Clif Chocolate Chip: no nuts in ingredients.</t>
        </is>
      </c>
      <c r="G10" s="73" t="n">
        <v>250</v>
      </c>
      <c r="H10" s="7" t="inlineStr">
        <is>
          <t>Add to main Costco order</t>
        </is>
      </c>
    </row>
    <row r="11">
      <c r="A11" s="9" t="inlineStr">
        <is>
          <t>Sun Jul 26</t>
        </is>
      </c>
      <c r="B11" s="9" t="inlineStr">
        <is>
          <t>Lunch</t>
        </is>
      </c>
      <c r="C11" s="10" t="inlineStr">
        <is>
          <t>Justin's Classic PB Squeeze Pack</t>
        </is>
      </c>
      <c r="D11" s="10" t="inlineStr">
        <is>
          <t>Peanuts</t>
        </is>
      </c>
      <c r="E11" s="10" t="inlineStr">
        <is>
          <t>Once Again Sunflower Butter Squeeze Pack</t>
        </is>
      </c>
      <c r="F11" s="10" t="inlineStr">
        <is>
          <t>Peanut-free facility. Free from top 9.</t>
        </is>
      </c>
      <c r="G11" s="72" t="n">
        <v>200</v>
      </c>
      <c r="H11" s="10" t="inlineStr">
        <is>
          <t>Amazon</t>
        </is>
      </c>
    </row>
    <row r="12">
      <c r="A12" s="6" t="inlineStr">
        <is>
          <t>Sun Jul 26</t>
        </is>
      </c>
      <c r="B12" s="6" t="inlineStr">
        <is>
          <t>Dessert</t>
        </is>
      </c>
      <c r="C12" s="7" t="inlineStr">
        <is>
          <t>Justin's Dark Choc PB Cups</t>
        </is>
      </c>
      <c r="D12" s="7" t="inlineStr">
        <is>
          <t>Peanuts, almonds</t>
        </is>
      </c>
      <c r="E12" s="7" t="inlineStr">
        <is>
          <t>Honey Stinger Gold Waffle or Enjoy Life Choc</t>
        </is>
      </c>
      <c r="F12" s="7" t="inlineStr">
        <is>
          <t>No nuts. Enjoy Life: top-14 free.</t>
        </is>
      </c>
      <c r="G12" s="73" t="n">
        <v>160</v>
      </c>
      <c r="H12" s="7" t="inlineStr">
        <is>
          <t>REI / Amazon</t>
        </is>
      </c>
    </row>
    <row r="13">
      <c r="A13" s="9" t="inlineStr">
        <is>
          <t>Mon Jul 27</t>
        </is>
      </c>
      <c r="B13" s="9" t="inlineStr">
        <is>
          <t>Breakfast</t>
        </is>
      </c>
      <c r="C13" s="10" t="inlineStr">
        <is>
          <t>ProBar Meal – Oatmeal Chocolate Chip</t>
        </is>
      </c>
      <c r="D13" s="10" t="inlineStr">
        <is>
          <t>Cashews</t>
        </is>
      </c>
      <c r="E13" s="10" t="inlineStr">
        <is>
          <t>No Nuts! Cinnamon Roll or Caramel Mocha</t>
        </is>
      </c>
      <c r="F13" s="10" t="inlineStr">
        <is>
          <t>Same certified nut-free facility.</t>
        </is>
      </c>
      <c r="G13" s="72" t="n">
        <v>185</v>
      </c>
      <c r="H13" s="10" t="inlineStr">
        <is>
          <t>Amazon / gononuts.com</t>
        </is>
      </c>
    </row>
    <row r="14">
      <c r="A14" s="6" t="inlineStr">
        <is>
          <t>Mon Jul 27</t>
        </is>
      </c>
      <c r="B14" s="6" t="inlineStr">
        <is>
          <t>Snacks</t>
        </is>
      </c>
      <c r="C14" s="7" t="inlineStr">
        <is>
          <t>Clif Bar – Crunchy PB</t>
        </is>
      </c>
      <c r="D14" s="7" t="inlineStr">
        <is>
          <t>Peanuts</t>
        </is>
      </c>
      <c r="E14" s="7" t="inlineStr">
        <is>
          <t>Clif Bar – Chocolate Chip</t>
        </is>
      </c>
      <c r="F14" s="7" t="inlineStr">
        <is>
          <t>Clif Chocolate Chip: no nuts in ingredients.</t>
        </is>
      </c>
      <c r="G14" s="73" t="n">
        <v>250</v>
      </c>
      <c r="H14" s="7" t="inlineStr">
        <is>
          <t>Add to main Costco order</t>
        </is>
      </c>
    </row>
    <row r="15">
      <c r="A15" s="9" t="inlineStr">
        <is>
          <t>Mon Jul 27</t>
        </is>
      </c>
      <c r="B15" s="9" t="inlineStr">
        <is>
          <t>Lunch</t>
        </is>
      </c>
      <c r="C15" s="10" t="inlineStr">
        <is>
          <t>Justin's Classic PB Squeeze Pack</t>
        </is>
      </c>
      <c r="D15" s="10" t="inlineStr">
        <is>
          <t>Peanuts</t>
        </is>
      </c>
      <c r="E15" s="10" t="inlineStr">
        <is>
          <t>Once Again Sunflower Butter Squeeze Pack</t>
        </is>
      </c>
      <c r="F15" s="10" t="inlineStr">
        <is>
          <t>Peanut-free facility. Free from top 9.</t>
        </is>
      </c>
      <c r="G15" s="72" t="n">
        <v>200</v>
      </c>
      <c r="H15" s="10" t="inlineStr">
        <is>
          <t>Amazon</t>
        </is>
      </c>
    </row>
    <row r="16">
      <c r="A16" s="6" t="inlineStr">
        <is>
          <t>Tue Jul 28</t>
        </is>
      </c>
      <c r="B16" s="6" t="inlineStr">
        <is>
          <t>Breakfast</t>
        </is>
      </c>
      <c r="C16" s="7" t="inlineStr">
        <is>
          <t>MET-Rx Big100 Super Cookie Crunch</t>
        </is>
      </c>
      <c r="D16" s="7" t="inlineStr">
        <is>
          <t>Peanuts, almonds, tree nuts</t>
        </is>
      </c>
      <c r="E16" s="7" t="inlineStr">
        <is>
          <t>No Nuts! Chocolate Chip Protein Bar</t>
        </is>
      </c>
      <c r="F16" s="7" t="inlineStr">
        <is>
          <t>Certified 100% nut-free facility.</t>
        </is>
      </c>
      <c r="G16" s="73" t="n">
        <v>185</v>
      </c>
      <c r="H16" s="7" t="inlineStr">
        <is>
          <t>Amazon</t>
        </is>
      </c>
    </row>
    <row r="17">
      <c r="A17" s="9" t="inlineStr">
        <is>
          <t>Tue Jul 28</t>
        </is>
      </c>
      <c r="B17" s="9" t="inlineStr">
        <is>
          <t>Snacks</t>
        </is>
      </c>
      <c r="C17" s="10" t="inlineStr">
        <is>
          <t>Kind – Dark Choc Nuts &amp; Sea Salt Bar</t>
        </is>
      </c>
      <c r="D17" s="10" t="inlineStr">
        <is>
          <t>Almonds, peanuts, cashews</t>
        </is>
      </c>
      <c r="E17" s="10" t="inlineStr">
        <is>
          <t>88 Acres bar (any flavor)</t>
        </is>
      </c>
      <c r="F17" s="10" t="inlineStr">
        <is>
          <t>Same nut-free facility.</t>
        </is>
      </c>
      <c r="G17" s="72" t="n">
        <v>150</v>
      </c>
      <c r="H17" s="10" t="inlineStr">
        <is>
          <t>Amazon</t>
        </is>
      </c>
    </row>
    <row r="18">
      <c r="A18" s="6" t="inlineStr">
        <is>
          <t>Tue Jul 28</t>
        </is>
      </c>
      <c r="B18" s="6" t="inlineStr">
        <is>
          <t>Dessert</t>
        </is>
      </c>
      <c r="C18" s="7" t="inlineStr">
        <is>
          <t>Justin's Dark Choc PB Cups</t>
        </is>
      </c>
      <c r="D18" s="7" t="inlineStr">
        <is>
          <t>Peanuts, almonds</t>
        </is>
      </c>
      <c r="E18" s="7" t="inlineStr">
        <is>
          <t>Honey Stinger Gold Waffle</t>
        </is>
      </c>
      <c r="F18" s="7" t="inlineStr">
        <is>
          <t>No nuts.</t>
        </is>
      </c>
      <c r="G18" s="73" t="n">
        <v>160</v>
      </c>
      <c r="H18" s="7" t="inlineStr">
        <is>
          <t>Amazon</t>
        </is>
      </c>
    </row>
    <row r="19">
      <c r="A19" s="9" t="inlineStr">
        <is>
          <t>Wed Jul 29</t>
        </is>
      </c>
      <c r="B19" s="9" t="inlineStr">
        <is>
          <t>Breakfast</t>
        </is>
      </c>
      <c r="C19" s="10" t="inlineStr">
        <is>
          <t>ProBar Meal – Oatmeal Chocolate Chip</t>
        </is>
      </c>
      <c r="D19" s="10" t="inlineStr">
        <is>
          <t>Cashews</t>
        </is>
      </c>
      <c r="E19" s="10" t="inlineStr">
        <is>
          <t>No Nuts! Cinnamon Roll bar</t>
        </is>
      </c>
      <c r="F19" s="10" t="inlineStr">
        <is>
          <t>Same certified nut-free facility.</t>
        </is>
      </c>
      <c r="G19" s="72" t="n">
        <v>185</v>
      </c>
      <c r="H19" s="10" t="inlineStr">
        <is>
          <t>Amazon</t>
        </is>
      </c>
    </row>
    <row r="20">
      <c r="A20" s="6" t="inlineStr">
        <is>
          <t>Wed Jul 29</t>
        </is>
      </c>
      <c r="B20" s="6" t="inlineStr">
        <is>
          <t>Snacks</t>
        </is>
      </c>
      <c r="C20" s="7" t="inlineStr">
        <is>
          <t>Kind PB Dark Choc Bar</t>
        </is>
      </c>
      <c r="D20" s="7" t="inlineStr">
        <is>
          <t>Peanuts, almonds</t>
        </is>
      </c>
      <c r="E20" s="7" t="inlineStr">
        <is>
          <t>88 Acres Dark Choc Sea Salt Seed + Oat Bar</t>
        </is>
      </c>
      <c r="F20" s="7" t="inlineStr">
        <is>
          <t>Dedicated nut-free bakery.</t>
        </is>
      </c>
      <c r="G20" s="73" t="n">
        <v>150</v>
      </c>
      <c r="H20" s="7" t="inlineStr">
        <is>
          <t>Amazon</t>
        </is>
      </c>
    </row>
    <row r="21">
      <c r="A21" s="9" t="inlineStr">
        <is>
          <t>Wed Jul 29</t>
        </is>
      </c>
      <c r="B21" s="9" t="inlineStr">
        <is>
          <t>Snacks</t>
        </is>
      </c>
      <c r="C21" s="10" t="inlineStr">
        <is>
          <t>Kind – Caramel Almond &amp; Peanut Bar</t>
        </is>
      </c>
      <c r="D21" s="10" t="inlineStr">
        <is>
          <t>Almonds, peanuts</t>
        </is>
      </c>
      <c r="E21" s="10" t="inlineStr">
        <is>
          <t>88 Acres Cinnamon Maple Seed + Oat Bar</t>
        </is>
      </c>
      <c r="F21" s="10" t="inlineStr">
        <is>
          <t>Same nut-free facility.</t>
        </is>
      </c>
      <c r="G21" s="72" t="n">
        <v>150</v>
      </c>
      <c r="H21" s="10" t="inlineStr">
        <is>
          <t>Amazon</t>
        </is>
      </c>
    </row>
    <row r="22">
      <c r="A22" s="6" t="inlineStr">
        <is>
          <t>Wed Jul 29</t>
        </is>
      </c>
      <c r="B22" s="6" t="inlineStr">
        <is>
          <t>Lunch</t>
        </is>
      </c>
      <c r="C22" s="7" t="inlineStr">
        <is>
          <t>Clif Bar – Crunchy PB</t>
        </is>
      </c>
      <c r="D22" s="7" t="inlineStr">
        <is>
          <t>Peanuts</t>
        </is>
      </c>
      <c r="E22" s="7" t="inlineStr">
        <is>
          <t>Clif Bar – Chocolate Chip</t>
        </is>
      </c>
      <c r="F22" s="7" t="inlineStr">
        <is>
          <t>Clif Chocolate Chip: no nuts in ingredients.</t>
        </is>
      </c>
      <c r="G22" s="73" t="n">
        <v>250</v>
      </c>
      <c r="H22" s="7" t="inlineStr">
        <is>
          <t>Costco</t>
        </is>
      </c>
    </row>
    <row r="23">
      <c r="A23" s="9" t="inlineStr">
        <is>
          <t>Wed Jul 29</t>
        </is>
      </c>
      <c r="B23" s="9" t="inlineStr">
        <is>
          <t>Lunch</t>
        </is>
      </c>
      <c r="C23" s="10" t="inlineStr">
        <is>
          <t>Justin's Classic PB Squeeze Pack</t>
        </is>
      </c>
      <c r="D23" s="10" t="inlineStr">
        <is>
          <t>Peanuts</t>
        </is>
      </c>
      <c r="E23" s="10" t="inlineStr">
        <is>
          <t>Once Again Sunflower Butter Squeeze Pack</t>
        </is>
      </c>
      <c r="F23" s="10" t="inlineStr">
        <is>
          <t>Peanut-free facility.</t>
        </is>
      </c>
      <c r="G23" s="72" t="n">
        <v>200</v>
      </c>
      <c r="H23" s="10" t="inlineStr">
        <is>
          <t>Amazon</t>
        </is>
      </c>
    </row>
    <row r="24">
      <c r="A24" s="6" t="inlineStr">
        <is>
          <t>Wed Jul 29</t>
        </is>
      </c>
      <c r="B24" s="6" t="inlineStr">
        <is>
          <t>Dessert</t>
        </is>
      </c>
      <c r="C24" s="7" t="inlineStr">
        <is>
          <t>BP Crème Brûlée</t>
        </is>
      </c>
      <c r="D24" s="7" t="inlineStr">
        <is>
          <t>Check label - may contain cashews</t>
        </is>
      </c>
      <c r="E24" s="7" t="inlineStr">
        <is>
          <t>Honey Stinger Gold Waffle</t>
        </is>
      </c>
      <c r="F24" s="7" t="inlineStr">
        <is>
          <t>No nuts.</t>
        </is>
      </c>
      <c r="G24" s="73" t="n">
        <v>160</v>
      </c>
      <c r="H24" s="7" t="inlineStr">
        <is>
          <t>REI / Amazon</t>
        </is>
      </c>
    </row>
    <row r="25">
      <c r="A25" s="9" t="inlineStr">
        <is>
          <t>Thu Jul 30</t>
        </is>
      </c>
      <c r="B25" s="9" t="inlineStr">
        <is>
          <t>Breakfast</t>
        </is>
      </c>
      <c r="C25" s="10" t="inlineStr">
        <is>
          <t>MET-Rx Big100 Super Cookie Crunch</t>
        </is>
      </c>
      <c r="D25" s="10" t="inlineStr">
        <is>
          <t>Peanuts, almonds, tree nuts</t>
        </is>
      </c>
      <c r="E25" s="10" t="inlineStr">
        <is>
          <t>No Nuts! Chocolate Chip Protein Bar</t>
        </is>
      </c>
      <c r="F25" s="10" t="inlineStr">
        <is>
          <t>Certified 100% nut-free facility.</t>
        </is>
      </c>
      <c r="G25" s="72" t="n">
        <v>185</v>
      </c>
      <c r="H25" s="10" t="inlineStr">
        <is>
          <t>Amazon</t>
        </is>
      </c>
    </row>
    <row r="26">
      <c r="A26" s="6" t="inlineStr">
        <is>
          <t>Thu Jul 30</t>
        </is>
      </c>
      <c r="B26" s="6" t="inlineStr">
        <is>
          <t>Snacks</t>
        </is>
      </c>
      <c r="C26" s="7" t="inlineStr">
        <is>
          <t>Clif Bar – Crunchy PB</t>
        </is>
      </c>
      <c r="D26" s="7" t="inlineStr">
        <is>
          <t>Peanuts</t>
        </is>
      </c>
      <c r="E26" s="7" t="inlineStr">
        <is>
          <t>Clif Bar – Chocolate Chip</t>
        </is>
      </c>
      <c r="F26" s="7" t="inlineStr">
        <is>
          <t>Clif Chocolate Chip: no nuts in ingredients.</t>
        </is>
      </c>
      <c r="G26" s="73" t="n">
        <v>250</v>
      </c>
      <c r="H26" s="7" t="inlineStr">
        <is>
          <t>Costco</t>
        </is>
      </c>
    </row>
    <row r="27">
      <c r="A27" s="9" t="inlineStr">
        <is>
          <t>Thu Jul 30</t>
        </is>
      </c>
      <c r="B27" s="9" t="inlineStr">
        <is>
          <t>Lunch</t>
        </is>
      </c>
      <c r="C27" s="10" t="inlineStr">
        <is>
          <t>Justin's Classic PB Squeeze Pack</t>
        </is>
      </c>
      <c r="D27" s="10" t="inlineStr">
        <is>
          <t>Peanuts</t>
        </is>
      </c>
      <c r="E27" s="10" t="inlineStr">
        <is>
          <t>Once Again Sunflower Butter Squeeze Pack</t>
        </is>
      </c>
      <c r="F27" s="10" t="inlineStr">
        <is>
          <t>Peanut-free facility.</t>
        </is>
      </c>
      <c r="G27" s="72" t="n">
        <v>200</v>
      </c>
      <c r="H27" s="10" t="inlineStr">
        <is>
          <t>Amazon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2026-06-12T19:56:38Z</dcterms:created>
  <dcterms:modified xmlns:dcterms="http://purl.org/dc/terms/" xmlns:xsi="http://www.w3.org/2001/XMLSchema-instance" xsi:type="dcterms:W3CDTF">2026-06-12T19:56:38Z</dcterms:modified>
</cp:coreProperties>
</file>